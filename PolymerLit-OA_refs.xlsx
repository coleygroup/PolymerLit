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tu/Desktop/PolymerLit/"/>
    </mc:Choice>
  </mc:AlternateContent>
  <xr:revisionPtr revIDLastSave="0" documentId="13_ncr:1_{5925870E-50C8-B043-84B6-028FA8CAE4AD}" xr6:coauthVersionLast="47" xr6:coauthVersionMax="47" xr10:uidLastSave="{00000000-0000-0000-0000-000000000000}"/>
  <bookViews>
    <workbookView xWindow="-16640" yWindow="-28800" windowWidth="51200" windowHeight="28800" xr2:uid="{FF18B8D0-9632-0E4C-939B-D39D3B9581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21" i="1" l="1" a="1"/>
  <c r="I121" i="1" s="1"/>
  <c r="H121" i="1" a="1"/>
  <c r="H121" i="1" s="1"/>
  <c r="U423" i="1"/>
  <c r="T423" i="1"/>
  <c r="S423" i="1"/>
  <c r="O423" i="1"/>
  <c r="M423" i="1"/>
  <c r="L423" i="1"/>
  <c r="N423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2" i="1"/>
  <c r="R423" i="1"/>
  <c r="Q423" i="1"/>
  <c r="P423" i="1"/>
  <c r="K423" i="1"/>
  <c r="J423" i="1"/>
  <c r="G422" i="1"/>
  <c r="I421" i="1" a="1"/>
  <c r="I421" i="1" s="1"/>
  <c r="A421" i="1" s="1"/>
  <c r="I420" i="1" a="1"/>
  <c r="I420" i="1" s="1"/>
  <c r="A420" i="1" s="1"/>
  <c r="I419" i="1" a="1"/>
  <c r="I419" i="1" s="1"/>
  <c r="A419" i="1" s="1"/>
  <c r="I418" i="1" a="1"/>
  <c r="I418" i="1" s="1"/>
  <c r="A418" i="1" s="1"/>
  <c r="I417" i="1" a="1"/>
  <c r="I417" i="1" s="1"/>
  <c r="A417" i="1" s="1"/>
  <c r="I416" i="1" a="1"/>
  <c r="I416" i="1" s="1"/>
  <c r="A416" i="1" s="1"/>
  <c r="I415" i="1" a="1"/>
  <c r="I415" i="1" s="1"/>
  <c r="A415" i="1" s="1"/>
  <c r="I414" i="1" a="1"/>
  <c r="I414" i="1" s="1"/>
  <c r="A414" i="1" s="1"/>
  <c r="I413" i="1" a="1"/>
  <c r="I413" i="1" s="1"/>
  <c r="A413" i="1" s="1"/>
  <c r="I412" i="1" a="1"/>
  <c r="I412" i="1" s="1"/>
  <c r="A412" i="1" s="1"/>
  <c r="I411" i="1" a="1"/>
  <c r="I411" i="1" s="1"/>
  <c r="A411" i="1" s="1"/>
  <c r="I410" i="1" a="1"/>
  <c r="I410" i="1" s="1"/>
  <c r="A410" i="1" s="1"/>
  <c r="I409" i="1" a="1"/>
  <c r="I409" i="1" s="1"/>
  <c r="A409" i="1" s="1"/>
  <c r="I408" i="1" a="1"/>
  <c r="I408" i="1" s="1"/>
  <c r="A408" i="1" s="1"/>
  <c r="I407" i="1" a="1"/>
  <c r="I407" i="1" s="1"/>
  <c r="A407" i="1" s="1"/>
  <c r="I406" i="1" a="1"/>
  <c r="I406" i="1" s="1"/>
  <c r="A406" i="1" s="1"/>
  <c r="I405" i="1" a="1"/>
  <c r="I405" i="1" s="1"/>
  <c r="A405" i="1" s="1"/>
  <c r="I404" i="1" a="1"/>
  <c r="I404" i="1" s="1"/>
  <c r="A404" i="1" s="1"/>
  <c r="I403" i="1" a="1"/>
  <c r="I403" i="1" s="1"/>
  <c r="A403" i="1" s="1"/>
  <c r="I402" i="1"/>
  <c r="A402" i="1" s="1"/>
  <c r="I402" i="1" a="1"/>
  <c r="I401" i="1" a="1"/>
  <c r="I401" i="1" s="1"/>
  <c r="A401" i="1" s="1"/>
  <c r="I400" i="1" a="1"/>
  <c r="I400" i="1" s="1"/>
  <c r="A400" i="1" s="1"/>
  <c r="I399" i="1" a="1"/>
  <c r="I399" i="1" s="1"/>
  <c r="A399" i="1" s="1"/>
  <c r="I398" i="1" a="1"/>
  <c r="I398" i="1" s="1"/>
  <c r="A398" i="1" s="1"/>
  <c r="I397" i="1" a="1"/>
  <c r="I397" i="1" s="1"/>
  <c r="A397" i="1" s="1"/>
  <c r="I396" i="1" a="1"/>
  <c r="I396" i="1" s="1"/>
  <c r="A396" i="1" s="1"/>
  <c r="I395" i="1" a="1"/>
  <c r="I395" i="1" s="1"/>
  <c r="A395" i="1" s="1"/>
  <c r="I394" i="1" a="1"/>
  <c r="I394" i="1" s="1"/>
  <c r="A394" i="1" s="1"/>
  <c r="I393" i="1" a="1"/>
  <c r="I393" i="1" s="1"/>
  <c r="A393" i="1" s="1"/>
  <c r="I392" i="1"/>
  <c r="I392" i="1" a="1"/>
  <c r="A392" i="1"/>
  <c r="I391" i="1" a="1"/>
  <c r="I391" i="1" s="1"/>
  <c r="A391" i="1" s="1"/>
  <c r="I390" i="1" a="1"/>
  <c r="I390" i="1" s="1"/>
  <c r="A390" i="1" s="1"/>
  <c r="I389" i="1" a="1"/>
  <c r="I389" i="1" s="1"/>
  <c r="A389" i="1" s="1"/>
  <c r="I388" i="1" a="1"/>
  <c r="I388" i="1" s="1"/>
  <c r="A388" i="1" s="1"/>
  <c r="I387" i="1" a="1"/>
  <c r="I387" i="1" s="1"/>
  <c r="A387" i="1" s="1"/>
  <c r="I386" i="1" a="1"/>
  <c r="I386" i="1" s="1"/>
  <c r="A386" i="1" s="1"/>
  <c r="I385" i="1" a="1"/>
  <c r="I385" i="1" s="1"/>
  <c r="A385" i="1" s="1"/>
  <c r="I384" i="1" a="1"/>
  <c r="I384" i="1" s="1"/>
  <c r="A384" i="1" s="1"/>
  <c r="I383" i="1" a="1"/>
  <c r="I383" i="1" s="1"/>
  <c r="A383" i="1" s="1"/>
  <c r="I382" i="1" a="1"/>
  <c r="I382" i="1" s="1"/>
  <c r="A382" i="1" s="1"/>
  <c r="I381" i="1" a="1"/>
  <c r="I381" i="1" s="1"/>
  <c r="A381" i="1" s="1"/>
  <c r="I380" i="1" a="1"/>
  <c r="I380" i="1" s="1"/>
  <c r="A380" i="1" s="1"/>
  <c r="I379" i="1" a="1"/>
  <c r="I379" i="1" s="1"/>
  <c r="A379" i="1" s="1"/>
  <c r="I378" i="1" a="1"/>
  <c r="I378" i="1" s="1"/>
  <c r="A378" i="1" s="1"/>
  <c r="I377" i="1" a="1"/>
  <c r="I377" i="1" s="1"/>
  <c r="A377" i="1" s="1"/>
  <c r="I376" i="1" a="1"/>
  <c r="I376" i="1" s="1"/>
  <c r="A376" i="1" s="1"/>
  <c r="I375" i="1" a="1"/>
  <c r="I375" i="1" s="1"/>
  <c r="A375" i="1" s="1"/>
  <c r="I374" i="1" a="1"/>
  <c r="I374" i="1" s="1"/>
  <c r="A374" i="1" s="1"/>
  <c r="I373" i="1" a="1"/>
  <c r="I373" i="1" s="1"/>
  <c r="A373" i="1" s="1"/>
  <c r="I372" i="1" a="1"/>
  <c r="I372" i="1" s="1"/>
  <c r="A372" i="1" s="1"/>
  <c r="I371" i="1" a="1"/>
  <c r="I371" i="1" s="1"/>
  <c r="A371" i="1" s="1"/>
  <c r="I370" i="1" a="1"/>
  <c r="I370" i="1" s="1"/>
  <c r="A370" i="1" s="1"/>
  <c r="I369" i="1" a="1"/>
  <c r="I369" i="1" s="1"/>
  <c r="A369" i="1" s="1"/>
  <c r="I368" i="1" a="1"/>
  <c r="I368" i="1" s="1"/>
  <c r="A368" i="1" s="1"/>
  <c r="I367" i="1" a="1"/>
  <c r="I367" i="1" s="1"/>
  <c r="A367" i="1" s="1"/>
  <c r="I366" i="1" a="1"/>
  <c r="I366" i="1" s="1"/>
  <c r="A366" i="1" s="1"/>
  <c r="I365" i="1" a="1"/>
  <c r="I365" i="1" s="1"/>
  <c r="A365" i="1" s="1"/>
  <c r="I364" i="1"/>
  <c r="A364" i="1" s="1"/>
  <c r="I364" i="1" a="1"/>
  <c r="I363" i="1" a="1"/>
  <c r="I363" i="1" s="1"/>
  <c r="A363" i="1" s="1"/>
  <c r="I362" i="1"/>
  <c r="I362" i="1" a="1"/>
  <c r="A362" i="1"/>
  <c r="I361" i="1" a="1"/>
  <c r="I361" i="1" s="1"/>
  <c r="A361" i="1" s="1"/>
  <c r="I360" i="1" a="1"/>
  <c r="I360" i="1" s="1"/>
  <c r="A360" i="1" s="1"/>
  <c r="I359" i="1" a="1"/>
  <c r="I359" i="1" s="1"/>
  <c r="A359" i="1" s="1"/>
  <c r="I358" i="1" a="1"/>
  <c r="I358" i="1" s="1"/>
  <c r="A358" i="1" s="1"/>
  <c r="I357" i="1" a="1"/>
  <c r="I357" i="1" s="1"/>
  <c r="A357" i="1" s="1"/>
  <c r="I356" i="1" a="1"/>
  <c r="I356" i="1" s="1"/>
  <c r="A356" i="1" s="1"/>
  <c r="I355" i="1" a="1"/>
  <c r="I355" i="1" s="1"/>
  <c r="A355" i="1" s="1"/>
  <c r="I354" i="1" a="1"/>
  <c r="I354" i="1" s="1"/>
  <c r="A354" i="1" s="1"/>
  <c r="I353" i="1" a="1"/>
  <c r="I353" i="1" s="1"/>
  <c r="A353" i="1" s="1"/>
  <c r="I352" i="1" a="1"/>
  <c r="I352" i="1" s="1"/>
  <c r="A352" i="1" s="1"/>
  <c r="I351" i="1" a="1"/>
  <c r="I351" i="1" s="1"/>
  <c r="A351" i="1" s="1"/>
  <c r="I350" i="1" a="1"/>
  <c r="I350" i="1" s="1"/>
  <c r="A350" i="1" s="1"/>
  <c r="I349" i="1" a="1"/>
  <c r="I349" i="1" s="1"/>
  <c r="H349" i="1" a="1"/>
  <c r="H349" i="1" s="1"/>
  <c r="I348" i="1" a="1"/>
  <c r="I348" i="1" s="1"/>
  <c r="H348" i="1" a="1"/>
  <c r="H348" i="1" s="1"/>
  <c r="A348" i="1" s="1"/>
  <c r="I347" i="1" a="1"/>
  <c r="I347" i="1" s="1"/>
  <c r="H347" i="1" a="1"/>
  <c r="H347" i="1" s="1"/>
  <c r="A347" i="1" s="1"/>
  <c r="I346" i="1" a="1"/>
  <c r="I346" i="1" s="1"/>
  <c r="H346" i="1" a="1"/>
  <c r="H346" i="1" s="1"/>
  <c r="I345" i="1" a="1"/>
  <c r="I345" i="1" s="1"/>
  <c r="H345" i="1" a="1"/>
  <c r="H345" i="1" s="1"/>
  <c r="I344" i="1" a="1"/>
  <c r="I344" i="1" s="1"/>
  <c r="H344" i="1" a="1"/>
  <c r="H344" i="1" s="1"/>
  <c r="I343" i="1" a="1"/>
  <c r="I343" i="1" s="1"/>
  <c r="H343" i="1" a="1"/>
  <c r="H343" i="1" s="1"/>
  <c r="I342" i="1"/>
  <c r="I342" i="1" a="1"/>
  <c r="H342" i="1" a="1"/>
  <c r="H342" i="1" s="1"/>
  <c r="I341" i="1"/>
  <c r="I341" i="1" a="1"/>
  <c r="H341" i="1" a="1"/>
  <c r="H341" i="1" s="1"/>
  <c r="I340" i="1" a="1"/>
  <c r="I340" i="1" s="1"/>
  <c r="H340" i="1" a="1"/>
  <c r="H340" i="1" s="1"/>
  <c r="I339" i="1" a="1"/>
  <c r="I339" i="1" s="1"/>
  <c r="A339" i="1" s="1"/>
  <c r="H339" i="1" a="1"/>
  <c r="H339" i="1" s="1"/>
  <c r="I338" i="1" a="1"/>
  <c r="I338" i="1" s="1"/>
  <c r="H338" i="1" a="1"/>
  <c r="H338" i="1" s="1"/>
  <c r="I337" i="1" a="1"/>
  <c r="I337" i="1" s="1"/>
  <c r="H337" i="1" a="1"/>
  <c r="H337" i="1" s="1"/>
  <c r="I336" i="1" a="1"/>
  <c r="I336" i="1" s="1"/>
  <c r="H336" i="1" a="1"/>
  <c r="H336" i="1" s="1"/>
  <c r="I335" i="1" a="1"/>
  <c r="I335" i="1" s="1"/>
  <c r="H335" i="1" a="1"/>
  <c r="H335" i="1" s="1"/>
  <c r="A335" i="1" s="1"/>
  <c r="I334" i="1" a="1"/>
  <c r="I334" i="1" s="1"/>
  <c r="H334" i="1" a="1"/>
  <c r="H334" i="1" s="1"/>
  <c r="I333" i="1" a="1"/>
  <c r="I333" i="1" s="1"/>
  <c r="H333" i="1" a="1"/>
  <c r="H333" i="1" s="1"/>
  <c r="I332" i="1" a="1"/>
  <c r="I332" i="1" s="1"/>
  <c r="H332" i="1" a="1"/>
  <c r="H332" i="1" s="1"/>
  <c r="I331" i="1" a="1"/>
  <c r="I331" i="1" s="1"/>
  <c r="H331" i="1" a="1"/>
  <c r="H331" i="1" s="1"/>
  <c r="I330" i="1" a="1"/>
  <c r="I330" i="1" s="1"/>
  <c r="H330" i="1" a="1"/>
  <c r="H330" i="1" s="1"/>
  <c r="I329" i="1" a="1"/>
  <c r="I329" i="1" s="1"/>
  <c r="H329" i="1" a="1"/>
  <c r="H329" i="1" s="1"/>
  <c r="I328" i="1" a="1"/>
  <c r="I328" i="1" s="1"/>
  <c r="H328" i="1" a="1"/>
  <c r="H328" i="1" s="1"/>
  <c r="A328" i="1" s="1"/>
  <c r="I327" i="1" a="1"/>
  <c r="I327" i="1" s="1"/>
  <c r="H327" i="1" a="1"/>
  <c r="H327" i="1" s="1"/>
  <c r="I326" i="1"/>
  <c r="I326" i="1" a="1"/>
  <c r="H326" i="1" a="1"/>
  <c r="H326" i="1" s="1"/>
  <c r="I325" i="1" a="1"/>
  <c r="I325" i="1" s="1"/>
  <c r="H325" i="1" a="1"/>
  <c r="H325" i="1" s="1"/>
  <c r="A325" i="1" s="1"/>
  <c r="I324" i="1" a="1"/>
  <c r="I324" i="1" s="1"/>
  <c r="H324" i="1" a="1"/>
  <c r="H324" i="1" s="1"/>
  <c r="A324" i="1" s="1"/>
  <c r="I323" i="1" a="1"/>
  <c r="I323" i="1" s="1"/>
  <c r="A323" i="1" s="1"/>
  <c r="H323" i="1" a="1"/>
  <c r="H323" i="1" s="1"/>
  <c r="I322" i="1" a="1"/>
  <c r="I322" i="1" s="1"/>
  <c r="H322" i="1"/>
  <c r="H322" i="1" a="1"/>
  <c r="I321" i="1" a="1"/>
  <c r="I321" i="1" s="1"/>
  <c r="H321" i="1" a="1"/>
  <c r="H321" i="1" s="1"/>
  <c r="I320" i="1" a="1"/>
  <c r="I320" i="1" s="1"/>
  <c r="H320" i="1" a="1"/>
  <c r="H320" i="1" s="1"/>
  <c r="I319" i="1" a="1"/>
  <c r="I319" i="1" s="1"/>
  <c r="H319" i="1" a="1"/>
  <c r="H319" i="1" s="1"/>
  <c r="I318" i="1" a="1"/>
  <c r="I318" i="1" s="1"/>
  <c r="H318" i="1" a="1"/>
  <c r="H318" i="1" s="1"/>
  <c r="A318" i="1" s="1"/>
  <c r="I317" i="1" a="1"/>
  <c r="I317" i="1" s="1"/>
  <c r="H317" i="1" a="1"/>
  <c r="H317" i="1" s="1"/>
  <c r="I316" i="1" a="1"/>
  <c r="I316" i="1" s="1"/>
  <c r="H316" i="1" a="1"/>
  <c r="H316" i="1" s="1"/>
  <c r="I315" i="1" a="1"/>
  <c r="I315" i="1" s="1"/>
  <c r="H315" i="1" a="1"/>
  <c r="H315" i="1" s="1"/>
  <c r="I314" i="1" a="1"/>
  <c r="I314" i="1" s="1"/>
  <c r="H314" i="1" a="1"/>
  <c r="H314" i="1" s="1"/>
  <c r="A314" i="1"/>
  <c r="I313" i="1" a="1"/>
  <c r="I313" i="1" s="1"/>
  <c r="H313" i="1" a="1"/>
  <c r="H313" i="1" s="1"/>
  <c r="I312" i="1"/>
  <c r="I312" i="1" a="1"/>
  <c r="H312" i="1" a="1"/>
  <c r="H312" i="1" s="1"/>
  <c r="I311" i="1"/>
  <c r="I311" i="1" a="1"/>
  <c r="H311" i="1" a="1"/>
  <c r="H311" i="1" s="1"/>
  <c r="I310" i="1" a="1"/>
  <c r="I310" i="1" s="1"/>
  <c r="H310" i="1" a="1"/>
  <c r="H310" i="1" s="1"/>
  <c r="I309" i="1" a="1"/>
  <c r="I309" i="1" s="1"/>
  <c r="H309" i="1" a="1"/>
  <c r="H309" i="1" s="1"/>
  <c r="I308" i="1" a="1"/>
  <c r="I308" i="1" s="1"/>
  <c r="H308" i="1" a="1"/>
  <c r="H308" i="1" s="1"/>
  <c r="I307" i="1" a="1"/>
  <c r="I307" i="1" s="1"/>
  <c r="H307" i="1" a="1"/>
  <c r="H307" i="1" s="1"/>
  <c r="I306" i="1" a="1"/>
  <c r="I306" i="1" s="1"/>
  <c r="H306" i="1" a="1"/>
  <c r="H306" i="1" s="1"/>
  <c r="I305" i="1" a="1"/>
  <c r="I305" i="1" s="1"/>
  <c r="H305" i="1" a="1"/>
  <c r="H305" i="1" s="1"/>
  <c r="I304" i="1" a="1"/>
  <c r="I304" i="1" s="1"/>
  <c r="H304" i="1" a="1"/>
  <c r="H304" i="1" s="1"/>
  <c r="A304" i="1" s="1"/>
  <c r="I303" i="1" a="1"/>
  <c r="I303" i="1" s="1"/>
  <c r="H303" i="1" a="1"/>
  <c r="H303" i="1" s="1"/>
  <c r="I302" i="1" a="1"/>
  <c r="I302" i="1" s="1"/>
  <c r="H302" i="1" a="1"/>
  <c r="H302" i="1" s="1"/>
  <c r="I301" i="1" a="1"/>
  <c r="I301" i="1" s="1"/>
  <c r="A301" i="1" s="1"/>
  <c r="H301" i="1" a="1"/>
  <c r="H301" i="1" s="1"/>
  <c r="I300" i="1" a="1"/>
  <c r="I300" i="1" s="1"/>
  <c r="H300" i="1" a="1"/>
  <c r="H300" i="1" s="1"/>
  <c r="I299" i="1" a="1"/>
  <c r="I299" i="1" s="1"/>
  <c r="A299" i="1" s="1"/>
  <c r="H299" i="1" a="1"/>
  <c r="H299" i="1" s="1"/>
  <c r="I298" i="1" a="1"/>
  <c r="I298" i="1" s="1"/>
  <c r="H298" i="1" a="1"/>
  <c r="H298" i="1" s="1"/>
  <c r="I297" i="1" a="1"/>
  <c r="I297" i="1" s="1"/>
  <c r="H297" i="1" a="1"/>
  <c r="H297" i="1" s="1"/>
  <c r="I296" i="1" a="1"/>
  <c r="I296" i="1" s="1"/>
  <c r="H296" i="1" a="1"/>
  <c r="H296" i="1" s="1"/>
  <c r="A296" i="1" s="1"/>
  <c r="I295" i="1" a="1"/>
  <c r="I295" i="1" s="1"/>
  <c r="H295" i="1" a="1"/>
  <c r="H295" i="1" s="1"/>
  <c r="I294" i="1" a="1"/>
  <c r="I294" i="1" s="1"/>
  <c r="H294" i="1" a="1"/>
  <c r="H294" i="1" s="1"/>
  <c r="A294" i="1" s="1"/>
  <c r="I293" i="1" a="1"/>
  <c r="I293" i="1" s="1"/>
  <c r="H293" i="1" a="1"/>
  <c r="H293" i="1" s="1"/>
  <c r="I292" i="1" a="1"/>
  <c r="I292" i="1" s="1"/>
  <c r="H292" i="1" a="1"/>
  <c r="H292" i="1" s="1"/>
  <c r="I291" i="1"/>
  <c r="I291" i="1" a="1"/>
  <c r="H291" i="1" a="1"/>
  <c r="H291" i="1" s="1"/>
  <c r="I290" i="1" a="1"/>
  <c r="I290" i="1" s="1"/>
  <c r="H290" i="1" a="1"/>
  <c r="H290" i="1" s="1"/>
  <c r="I289" i="1" a="1"/>
  <c r="I289" i="1" s="1"/>
  <c r="H289" i="1" a="1"/>
  <c r="H289" i="1" s="1"/>
  <c r="A289" i="1" s="1"/>
  <c r="I288" i="1" a="1"/>
  <c r="I288" i="1" s="1"/>
  <c r="H288" i="1" a="1"/>
  <c r="H288" i="1" s="1"/>
  <c r="I287" i="1" a="1"/>
  <c r="I287" i="1" s="1"/>
  <c r="H287" i="1" a="1"/>
  <c r="H287" i="1" s="1"/>
  <c r="I286" i="1" a="1"/>
  <c r="I286" i="1" s="1"/>
  <c r="H286" i="1" a="1"/>
  <c r="H286" i="1" s="1"/>
  <c r="I285" i="1" a="1"/>
  <c r="I285" i="1" s="1"/>
  <c r="H285" i="1" a="1"/>
  <c r="H285" i="1" s="1"/>
  <c r="A285" i="1"/>
  <c r="I284" i="1" a="1"/>
  <c r="I284" i="1" s="1"/>
  <c r="H284" i="1" a="1"/>
  <c r="H284" i="1" s="1"/>
  <c r="I283" i="1" a="1"/>
  <c r="I283" i="1" s="1"/>
  <c r="H283" i="1" a="1"/>
  <c r="H283" i="1" s="1"/>
  <c r="I282" i="1" a="1"/>
  <c r="I282" i="1" s="1"/>
  <c r="H282" i="1" a="1"/>
  <c r="H282" i="1" s="1"/>
  <c r="I281" i="1" a="1"/>
  <c r="I281" i="1" s="1"/>
  <c r="A281" i="1" s="1"/>
  <c r="H281" i="1" a="1"/>
  <c r="H281" i="1" s="1"/>
  <c r="I280" i="1" a="1"/>
  <c r="I280" i="1" s="1"/>
  <c r="H280" i="1" a="1"/>
  <c r="H280" i="1" s="1"/>
  <c r="I279" i="1" a="1"/>
  <c r="I279" i="1" s="1"/>
  <c r="H279" i="1" a="1"/>
  <c r="H279" i="1" s="1"/>
  <c r="I278" i="1" a="1"/>
  <c r="I278" i="1" s="1"/>
  <c r="H278" i="1" a="1"/>
  <c r="H278" i="1" s="1"/>
  <c r="I277" i="1" a="1"/>
  <c r="I277" i="1" s="1"/>
  <c r="H277" i="1" a="1"/>
  <c r="H277" i="1" s="1"/>
  <c r="I276" i="1" a="1"/>
  <c r="I276" i="1" s="1"/>
  <c r="H276" i="1" a="1"/>
  <c r="H276" i="1" s="1"/>
  <c r="I275" i="1"/>
  <c r="A275" i="1" s="1"/>
  <c r="I275" i="1" a="1"/>
  <c r="H275" i="1" a="1"/>
  <c r="H275" i="1" s="1"/>
  <c r="I274" i="1" a="1"/>
  <c r="I274" i="1" s="1"/>
  <c r="A274" i="1" s="1"/>
  <c r="H274" i="1" a="1"/>
  <c r="H274" i="1" s="1"/>
  <c r="I273" i="1" a="1"/>
  <c r="I273" i="1" s="1"/>
  <c r="H273" i="1" a="1"/>
  <c r="H273" i="1" s="1"/>
  <c r="I272" i="1"/>
  <c r="I272" i="1" a="1"/>
  <c r="H272" i="1" a="1"/>
  <c r="H272" i="1" s="1"/>
  <c r="I271" i="1" a="1"/>
  <c r="I271" i="1" s="1"/>
  <c r="H271" i="1" a="1"/>
  <c r="H271" i="1" s="1"/>
  <c r="I270" i="1" a="1"/>
  <c r="I270" i="1" s="1"/>
  <c r="H270" i="1" a="1"/>
  <c r="H270" i="1" s="1"/>
  <c r="I269" i="1" a="1"/>
  <c r="I269" i="1" s="1"/>
  <c r="H269" i="1" a="1"/>
  <c r="H269" i="1" s="1"/>
  <c r="I268" i="1"/>
  <c r="I268" i="1" a="1"/>
  <c r="H268" i="1" a="1"/>
  <c r="H268" i="1" s="1"/>
  <c r="I267" i="1" a="1"/>
  <c r="I267" i="1" s="1"/>
  <c r="H267" i="1" a="1"/>
  <c r="H267" i="1" s="1"/>
  <c r="I266" i="1" a="1"/>
  <c r="I266" i="1" s="1"/>
  <c r="H266" i="1" a="1"/>
  <c r="H266" i="1" s="1"/>
  <c r="I265" i="1" a="1"/>
  <c r="I265" i="1" s="1"/>
  <c r="H265" i="1" a="1"/>
  <c r="H265" i="1" s="1"/>
  <c r="I264" i="1" a="1"/>
  <c r="I264" i="1" s="1"/>
  <c r="H264" i="1" a="1"/>
  <c r="H264" i="1" s="1"/>
  <c r="I263" i="1" a="1"/>
  <c r="I263" i="1" s="1"/>
  <c r="H263" i="1" a="1"/>
  <c r="H263" i="1" s="1"/>
  <c r="I262" i="1" a="1"/>
  <c r="I262" i="1" s="1"/>
  <c r="H262" i="1" a="1"/>
  <c r="H262" i="1" s="1"/>
  <c r="I261" i="1" a="1"/>
  <c r="I261" i="1" s="1"/>
  <c r="H261" i="1" a="1"/>
  <c r="H261" i="1" s="1"/>
  <c r="I260" i="1" a="1"/>
  <c r="I260" i="1" s="1"/>
  <c r="A260" i="1" s="1"/>
  <c r="H260" i="1" a="1"/>
  <c r="H260" i="1" s="1"/>
  <c r="I259" i="1" a="1"/>
  <c r="I259" i="1" s="1"/>
  <c r="H259" i="1"/>
  <c r="H259" i="1" a="1"/>
  <c r="I258" i="1" a="1"/>
  <c r="I258" i="1" s="1"/>
  <c r="H258" i="1" a="1"/>
  <c r="H258" i="1" s="1"/>
  <c r="I257" i="1" a="1"/>
  <c r="I257" i="1" s="1"/>
  <c r="H257" i="1" a="1"/>
  <c r="H257" i="1" s="1"/>
  <c r="I256" i="1" a="1"/>
  <c r="I256" i="1" s="1"/>
  <c r="A256" i="1" s="1"/>
  <c r="H256" i="1" a="1"/>
  <c r="H256" i="1" s="1"/>
  <c r="I255" i="1" a="1"/>
  <c r="I255" i="1" s="1"/>
  <c r="H255" i="1" a="1"/>
  <c r="H255" i="1" s="1"/>
  <c r="I254" i="1" a="1"/>
  <c r="I254" i="1" s="1"/>
  <c r="H254" i="1" a="1"/>
  <c r="H254" i="1" s="1"/>
  <c r="I253" i="1" a="1"/>
  <c r="I253" i="1" s="1"/>
  <c r="H253" i="1" a="1"/>
  <c r="H253" i="1" s="1"/>
  <c r="I252" i="1"/>
  <c r="I252" i="1" a="1"/>
  <c r="H252" i="1" a="1"/>
  <c r="H252" i="1" s="1"/>
  <c r="I251" i="1" a="1"/>
  <c r="I251" i="1" s="1"/>
  <c r="H251" i="1" a="1"/>
  <c r="H251" i="1" s="1"/>
  <c r="I250" i="1" a="1"/>
  <c r="I250" i="1" s="1"/>
  <c r="H250" i="1" a="1"/>
  <c r="H250" i="1" s="1"/>
  <c r="A250" i="1" s="1"/>
  <c r="I249" i="1" a="1"/>
  <c r="I249" i="1" s="1"/>
  <c r="H249" i="1" a="1"/>
  <c r="H249" i="1" s="1"/>
  <c r="I248" i="1" a="1"/>
  <c r="I248" i="1" s="1"/>
  <c r="H248" i="1" a="1"/>
  <c r="H248" i="1" s="1"/>
  <c r="I247" i="1" a="1"/>
  <c r="I247" i="1" s="1"/>
  <c r="H247" i="1" a="1"/>
  <c r="H247" i="1" s="1"/>
  <c r="I246" i="1" a="1"/>
  <c r="I246" i="1" s="1"/>
  <c r="H246" i="1" a="1"/>
  <c r="H246" i="1" s="1"/>
  <c r="A246" i="1" s="1"/>
  <c r="I245" i="1" a="1"/>
  <c r="I245" i="1" s="1"/>
  <c r="H245" i="1" a="1"/>
  <c r="H245" i="1" s="1"/>
  <c r="I244" i="1" a="1"/>
  <c r="I244" i="1" s="1"/>
  <c r="H244" i="1" a="1"/>
  <c r="H244" i="1" s="1"/>
  <c r="I243" i="1" a="1"/>
  <c r="I243" i="1" s="1"/>
  <c r="H243" i="1"/>
  <c r="H243" i="1" a="1"/>
  <c r="I242" i="1" a="1"/>
  <c r="I242" i="1" s="1"/>
  <c r="H242" i="1" a="1"/>
  <c r="H242" i="1" s="1"/>
  <c r="I241" i="1" a="1"/>
  <c r="I241" i="1" s="1"/>
  <c r="H241" i="1" a="1"/>
  <c r="H241" i="1" s="1"/>
  <c r="A241" i="1" s="1"/>
  <c r="I240" i="1" a="1"/>
  <c r="I240" i="1" s="1"/>
  <c r="H240" i="1" a="1"/>
  <c r="H240" i="1" s="1"/>
  <c r="I239" i="1" a="1"/>
  <c r="I239" i="1" s="1"/>
  <c r="H239" i="1" a="1"/>
  <c r="H239" i="1" s="1"/>
  <c r="I238" i="1" a="1"/>
  <c r="I238" i="1" s="1"/>
  <c r="H238" i="1" a="1"/>
  <c r="H238" i="1" s="1"/>
  <c r="I237" i="1" a="1"/>
  <c r="I237" i="1" s="1"/>
  <c r="H237" i="1" a="1"/>
  <c r="H237" i="1" s="1"/>
  <c r="I236" i="1" a="1"/>
  <c r="I236" i="1" s="1"/>
  <c r="H236" i="1" a="1"/>
  <c r="H236" i="1" s="1"/>
  <c r="A236" i="1" s="1"/>
  <c r="I235" i="1" a="1"/>
  <c r="I235" i="1" s="1"/>
  <c r="H235" i="1" a="1"/>
  <c r="H235" i="1" s="1"/>
  <c r="I234" i="1" a="1"/>
  <c r="I234" i="1" s="1"/>
  <c r="H234" i="1" a="1"/>
  <c r="H234" i="1" s="1"/>
  <c r="I233" i="1" a="1"/>
  <c r="I233" i="1" s="1"/>
  <c r="H233" i="1" a="1"/>
  <c r="H233" i="1" s="1"/>
  <c r="I232" i="1" a="1"/>
  <c r="I232" i="1" s="1"/>
  <c r="H232" i="1" a="1"/>
  <c r="H232" i="1" s="1"/>
  <c r="I231" i="1" a="1"/>
  <c r="I231" i="1" s="1"/>
  <c r="H231" i="1" a="1"/>
  <c r="H231" i="1" s="1"/>
  <c r="I230" i="1" a="1"/>
  <c r="I230" i="1" s="1"/>
  <c r="H230" i="1" a="1"/>
  <c r="H230" i="1" s="1"/>
  <c r="I229" i="1" a="1"/>
  <c r="I229" i="1" s="1"/>
  <c r="H229" i="1" a="1"/>
  <c r="H229" i="1" s="1"/>
  <c r="A229" i="1" s="1"/>
  <c r="I228" i="1" a="1"/>
  <c r="I228" i="1" s="1"/>
  <c r="H228" i="1" a="1"/>
  <c r="H228" i="1" s="1"/>
  <c r="I227" i="1" a="1"/>
  <c r="I227" i="1" s="1"/>
  <c r="H227" i="1" a="1"/>
  <c r="H227" i="1" s="1"/>
  <c r="I226" i="1" a="1"/>
  <c r="I226" i="1" s="1"/>
  <c r="H226" i="1" a="1"/>
  <c r="H226" i="1" s="1"/>
  <c r="A226" i="1" s="1"/>
  <c r="I225" i="1" a="1"/>
  <c r="I225" i="1" s="1"/>
  <c r="A225" i="1" s="1"/>
  <c r="H225" i="1" a="1"/>
  <c r="H225" i="1" s="1"/>
  <c r="I224" i="1" a="1"/>
  <c r="I224" i="1" s="1"/>
  <c r="H224" i="1" a="1"/>
  <c r="H224" i="1" s="1"/>
  <c r="A224" i="1" s="1"/>
  <c r="I223" i="1" a="1"/>
  <c r="I223" i="1" s="1"/>
  <c r="H223" i="1" a="1"/>
  <c r="H223" i="1" s="1"/>
  <c r="I222" i="1" a="1"/>
  <c r="I222" i="1" s="1"/>
  <c r="A222" i="1" s="1"/>
  <c r="H222" i="1" a="1"/>
  <c r="H222" i="1" s="1"/>
  <c r="I221" i="1" a="1"/>
  <c r="I221" i="1" s="1"/>
  <c r="H221" i="1" a="1"/>
  <c r="H221" i="1" s="1"/>
  <c r="I220" i="1" a="1"/>
  <c r="I220" i="1" s="1"/>
  <c r="H220" i="1" a="1"/>
  <c r="H220" i="1" s="1"/>
  <c r="I219" i="1" a="1"/>
  <c r="I219" i="1" s="1"/>
  <c r="H219" i="1" a="1"/>
  <c r="H219" i="1" s="1"/>
  <c r="I218" i="1" a="1"/>
  <c r="I218" i="1" s="1"/>
  <c r="H218" i="1" a="1"/>
  <c r="H218" i="1" s="1"/>
  <c r="A218" i="1" s="1"/>
  <c r="I217" i="1" a="1"/>
  <c r="I217" i="1" s="1"/>
  <c r="H217" i="1" a="1"/>
  <c r="H217" i="1" s="1"/>
  <c r="I216" i="1" a="1"/>
  <c r="I216" i="1" s="1"/>
  <c r="H216" i="1" a="1"/>
  <c r="H216" i="1" s="1"/>
  <c r="A216" i="1" s="1"/>
  <c r="I215" i="1" a="1"/>
  <c r="I215" i="1" s="1"/>
  <c r="H215" i="1" a="1"/>
  <c r="H215" i="1" s="1"/>
  <c r="A215" i="1" s="1"/>
  <c r="I214" i="1" a="1"/>
  <c r="I214" i="1" s="1"/>
  <c r="H214" i="1" a="1"/>
  <c r="H214" i="1" s="1"/>
  <c r="I213" i="1"/>
  <c r="I213" i="1" a="1"/>
  <c r="H213" i="1" a="1"/>
  <c r="H213" i="1" s="1"/>
  <c r="I212" i="1" a="1"/>
  <c r="I212" i="1" s="1"/>
  <c r="H212" i="1" a="1"/>
  <c r="H212" i="1" s="1"/>
  <c r="I211" i="1" a="1"/>
  <c r="I211" i="1" s="1"/>
  <c r="H211" i="1" a="1"/>
  <c r="H211" i="1" s="1"/>
  <c r="I210" i="1" a="1"/>
  <c r="I210" i="1" s="1"/>
  <c r="H210" i="1" a="1"/>
  <c r="H210" i="1" s="1"/>
  <c r="I209" i="1" a="1"/>
  <c r="I209" i="1" s="1"/>
  <c r="H209" i="1" a="1"/>
  <c r="H209" i="1" s="1"/>
  <c r="I208" i="1" a="1"/>
  <c r="I208" i="1" s="1"/>
  <c r="H208" i="1" a="1"/>
  <c r="H208" i="1" s="1"/>
  <c r="I207" i="1" a="1"/>
  <c r="I207" i="1" s="1"/>
  <c r="H207" i="1" a="1"/>
  <c r="H207" i="1" s="1"/>
  <c r="I206" i="1" a="1"/>
  <c r="I206" i="1" s="1"/>
  <c r="H206" i="1" a="1"/>
  <c r="H206" i="1" s="1"/>
  <c r="I205" i="1" a="1"/>
  <c r="I205" i="1" s="1"/>
  <c r="H205" i="1" a="1"/>
  <c r="H205" i="1" s="1"/>
  <c r="A205" i="1" s="1"/>
  <c r="I204" i="1" a="1"/>
  <c r="I204" i="1" s="1"/>
  <c r="H204" i="1" a="1"/>
  <c r="H204" i="1" s="1"/>
  <c r="I203" i="1" a="1"/>
  <c r="I203" i="1" s="1"/>
  <c r="H203" i="1"/>
  <c r="H203" i="1" a="1"/>
  <c r="I202" i="1" a="1"/>
  <c r="I202" i="1" s="1"/>
  <c r="H202" i="1" a="1"/>
  <c r="H202" i="1" s="1"/>
  <c r="A202" i="1" s="1"/>
  <c r="I201" i="1" a="1"/>
  <c r="I201" i="1" s="1"/>
  <c r="H201" i="1" a="1"/>
  <c r="H201" i="1" s="1"/>
  <c r="A201" i="1" s="1"/>
  <c r="I200" i="1" a="1"/>
  <c r="I200" i="1" s="1"/>
  <c r="H200" i="1" a="1"/>
  <c r="H200" i="1" s="1"/>
  <c r="I199" i="1" a="1"/>
  <c r="I199" i="1" s="1"/>
  <c r="H199" i="1" a="1"/>
  <c r="H199" i="1" s="1"/>
  <c r="A199" i="1" s="1"/>
  <c r="I198" i="1" a="1"/>
  <c r="I198" i="1" s="1"/>
  <c r="H198" i="1" a="1"/>
  <c r="H198" i="1" s="1"/>
  <c r="I197" i="1" a="1"/>
  <c r="I197" i="1" s="1"/>
  <c r="H197" i="1"/>
  <c r="A197" i="1" s="1"/>
  <c r="H197" i="1" a="1"/>
  <c r="I196" i="1" a="1"/>
  <c r="I196" i="1" s="1"/>
  <c r="H196" i="1" a="1"/>
  <c r="H196" i="1" s="1"/>
  <c r="A196" i="1" s="1"/>
  <c r="I195" i="1" a="1"/>
  <c r="I195" i="1" s="1"/>
  <c r="H195" i="1" a="1"/>
  <c r="H195" i="1" s="1"/>
  <c r="A195" i="1" s="1"/>
  <c r="I194" i="1" a="1"/>
  <c r="I194" i="1" s="1"/>
  <c r="H194" i="1" a="1"/>
  <c r="H194" i="1" s="1"/>
  <c r="I193" i="1" a="1"/>
  <c r="I193" i="1" s="1"/>
  <c r="H193" i="1" a="1"/>
  <c r="H193" i="1" s="1"/>
  <c r="I192" i="1" a="1"/>
  <c r="I192" i="1" s="1"/>
  <c r="H192" i="1" a="1"/>
  <c r="H192" i="1" s="1"/>
  <c r="A192" i="1" s="1"/>
  <c r="I191" i="1" a="1"/>
  <c r="I191" i="1" s="1"/>
  <c r="H191" i="1" a="1"/>
  <c r="H191" i="1" s="1"/>
  <c r="I190" i="1" a="1"/>
  <c r="I190" i="1" s="1"/>
  <c r="H190" i="1" a="1"/>
  <c r="H190" i="1" s="1"/>
  <c r="I189" i="1" a="1"/>
  <c r="I189" i="1" s="1"/>
  <c r="H189" i="1" a="1"/>
  <c r="H189" i="1" s="1"/>
  <c r="I188" i="1" a="1"/>
  <c r="I188" i="1" s="1"/>
  <c r="H188" i="1" a="1"/>
  <c r="H188" i="1" s="1"/>
  <c r="I187" i="1" a="1"/>
  <c r="I187" i="1" s="1"/>
  <c r="H187" i="1" a="1"/>
  <c r="H187" i="1" s="1"/>
  <c r="A187" i="1" s="1"/>
  <c r="I186" i="1" a="1"/>
  <c r="I186" i="1" s="1"/>
  <c r="H186" i="1" a="1"/>
  <c r="H186" i="1" s="1"/>
  <c r="I185" i="1" a="1"/>
  <c r="I185" i="1" s="1"/>
  <c r="H185" i="1" a="1"/>
  <c r="H185" i="1" s="1"/>
  <c r="A185" i="1" s="1"/>
  <c r="I184" i="1" a="1"/>
  <c r="I184" i="1" s="1"/>
  <c r="H184" i="1" a="1"/>
  <c r="H184" i="1" s="1"/>
  <c r="I183" i="1" a="1"/>
  <c r="I183" i="1" s="1"/>
  <c r="H183" i="1" a="1"/>
  <c r="H183" i="1" s="1"/>
  <c r="I182" i="1" a="1"/>
  <c r="I182" i="1" s="1"/>
  <c r="H182" i="1" a="1"/>
  <c r="H182" i="1" s="1"/>
  <c r="A182" i="1" s="1"/>
  <c r="I181" i="1" a="1"/>
  <c r="I181" i="1" s="1"/>
  <c r="H181" i="1" a="1"/>
  <c r="H181" i="1" s="1"/>
  <c r="I180" i="1" a="1"/>
  <c r="I180" i="1" s="1"/>
  <c r="H180" i="1" a="1"/>
  <c r="H180" i="1" s="1"/>
  <c r="I179" i="1" a="1"/>
  <c r="I179" i="1" s="1"/>
  <c r="H179" i="1" a="1"/>
  <c r="H179" i="1" s="1"/>
  <c r="A179" i="1" s="1"/>
  <c r="I178" i="1" a="1"/>
  <c r="I178" i="1" s="1"/>
  <c r="H178" i="1" a="1"/>
  <c r="H178" i="1" s="1"/>
  <c r="A178" i="1" s="1"/>
  <c r="I177" i="1" a="1"/>
  <c r="I177" i="1" s="1"/>
  <c r="H177" i="1" a="1"/>
  <c r="H177" i="1" s="1"/>
  <c r="I176" i="1" a="1"/>
  <c r="I176" i="1" s="1"/>
  <c r="H176" i="1" a="1"/>
  <c r="H176" i="1" s="1"/>
  <c r="I175" i="1" a="1"/>
  <c r="I175" i="1" s="1"/>
  <c r="H175" i="1"/>
  <c r="H175" i="1" a="1"/>
  <c r="I174" i="1" a="1"/>
  <c r="I174" i="1" s="1"/>
  <c r="H174" i="1" a="1"/>
  <c r="H174" i="1" s="1"/>
  <c r="I173" i="1" a="1"/>
  <c r="I173" i="1" s="1"/>
  <c r="H173" i="1" a="1"/>
  <c r="H173" i="1" s="1"/>
  <c r="I172" i="1" a="1"/>
  <c r="I172" i="1" s="1"/>
  <c r="H172" i="1" a="1"/>
  <c r="H172" i="1" s="1"/>
  <c r="I171" i="1" a="1"/>
  <c r="I171" i="1" s="1"/>
  <c r="H171" i="1"/>
  <c r="A171" i="1" s="1"/>
  <c r="H171" i="1" a="1"/>
  <c r="I170" i="1" a="1"/>
  <c r="I170" i="1" s="1"/>
  <c r="H170" i="1"/>
  <c r="H170" i="1" a="1"/>
  <c r="I169" i="1" a="1"/>
  <c r="I169" i="1" s="1"/>
  <c r="H169" i="1"/>
  <c r="H169" i="1" a="1"/>
  <c r="I168" i="1" a="1"/>
  <c r="I168" i="1" s="1"/>
  <c r="H168" i="1" a="1"/>
  <c r="H168" i="1" s="1"/>
  <c r="A168" i="1" s="1"/>
  <c r="I167" i="1" a="1"/>
  <c r="I167" i="1" s="1"/>
  <c r="H167" i="1" a="1"/>
  <c r="H167" i="1" s="1"/>
  <c r="I166" i="1" a="1"/>
  <c r="I166" i="1" s="1"/>
  <c r="H166" i="1" a="1"/>
  <c r="H166" i="1" s="1"/>
  <c r="I165" i="1" a="1"/>
  <c r="I165" i="1" s="1"/>
  <c r="H165" i="1" a="1"/>
  <c r="H165" i="1" s="1"/>
  <c r="A165" i="1" s="1"/>
  <c r="I164" i="1" a="1"/>
  <c r="I164" i="1" s="1"/>
  <c r="H164" i="1" a="1"/>
  <c r="H164" i="1" s="1"/>
  <c r="A164" i="1" s="1"/>
  <c r="I163" i="1" a="1"/>
  <c r="I163" i="1" s="1"/>
  <c r="H163" i="1" a="1"/>
  <c r="H163" i="1" s="1"/>
  <c r="I162" i="1" a="1"/>
  <c r="I162" i="1" s="1"/>
  <c r="H162" i="1" a="1"/>
  <c r="H162" i="1" s="1"/>
  <c r="I161" i="1" a="1"/>
  <c r="I161" i="1" s="1"/>
  <c r="H161" i="1" a="1"/>
  <c r="H161" i="1" s="1"/>
  <c r="A161" i="1" s="1"/>
  <c r="I160" i="1" a="1"/>
  <c r="I160" i="1" s="1"/>
  <c r="H160" i="1" a="1"/>
  <c r="H160" i="1" s="1"/>
  <c r="I159" i="1" a="1"/>
  <c r="I159" i="1" s="1"/>
  <c r="H159" i="1" a="1"/>
  <c r="H159" i="1" s="1"/>
  <c r="A159" i="1" s="1"/>
  <c r="I158" i="1" a="1"/>
  <c r="I158" i="1" s="1"/>
  <c r="H158" i="1" a="1"/>
  <c r="H158" i="1" s="1"/>
  <c r="I157" i="1" a="1"/>
  <c r="I157" i="1" s="1"/>
  <c r="H157" i="1"/>
  <c r="A157" i="1" s="1"/>
  <c r="H157" i="1" a="1"/>
  <c r="I156" i="1" a="1"/>
  <c r="I156" i="1" s="1"/>
  <c r="H156" i="1" a="1"/>
  <c r="H156" i="1" s="1"/>
  <c r="A156" i="1" s="1"/>
  <c r="I155" i="1" a="1"/>
  <c r="I155" i="1" s="1"/>
  <c r="H155" i="1" a="1"/>
  <c r="H155" i="1" s="1"/>
  <c r="A155" i="1" s="1"/>
  <c r="I154" i="1" a="1"/>
  <c r="I154" i="1" s="1"/>
  <c r="H154" i="1" a="1"/>
  <c r="H154" i="1" s="1"/>
  <c r="I153" i="1" a="1"/>
  <c r="I153" i="1" s="1"/>
  <c r="H153" i="1" a="1"/>
  <c r="H153" i="1" s="1"/>
  <c r="A153" i="1" s="1"/>
  <c r="I152" i="1" a="1"/>
  <c r="I152" i="1" s="1"/>
  <c r="H152" i="1" a="1"/>
  <c r="H152" i="1" s="1"/>
  <c r="A152" i="1" s="1"/>
  <c r="I151" i="1" a="1"/>
  <c r="I151" i="1" s="1"/>
  <c r="H151" i="1" a="1"/>
  <c r="H151" i="1" s="1"/>
  <c r="I150" i="1" a="1"/>
  <c r="I150" i="1" s="1"/>
  <c r="H150" i="1" a="1"/>
  <c r="H150" i="1" s="1"/>
  <c r="I149" i="1" a="1"/>
  <c r="I149" i="1" s="1"/>
  <c r="H149" i="1"/>
  <c r="H149" i="1" a="1"/>
  <c r="I148" i="1" a="1"/>
  <c r="I148" i="1" s="1"/>
  <c r="H148" i="1" a="1"/>
  <c r="H148" i="1" s="1"/>
  <c r="I147" i="1" a="1"/>
  <c r="I147" i="1" s="1"/>
  <c r="H147" i="1" a="1"/>
  <c r="H147" i="1" s="1"/>
  <c r="A147" i="1" s="1"/>
  <c r="I146" i="1" a="1"/>
  <c r="I146" i="1" s="1"/>
  <c r="H146" i="1" a="1"/>
  <c r="H146" i="1" s="1"/>
  <c r="I145" i="1" a="1"/>
  <c r="I145" i="1" s="1"/>
  <c r="H145" i="1"/>
  <c r="A145" i="1" s="1"/>
  <c r="H145" i="1" a="1"/>
  <c r="I144" i="1" a="1"/>
  <c r="I144" i="1" s="1"/>
  <c r="H144" i="1" a="1"/>
  <c r="H144" i="1" s="1"/>
  <c r="A144" i="1" s="1"/>
  <c r="I143" i="1" a="1"/>
  <c r="I143" i="1" s="1"/>
  <c r="H143" i="1" a="1"/>
  <c r="H143" i="1" s="1"/>
  <c r="A143" i="1" s="1"/>
  <c r="I142" i="1" a="1"/>
  <c r="I142" i="1" s="1"/>
  <c r="H142" i="1" a="1"/>
  <c r="H142" i="1" s="1"/>
  <c r="I141" i="1" a="1"/>
  <c r="I141" i="1" s="1"/>
  <c r="H141" i="1" a="1"/>
  <c r="H141" i="1" s="1"/>
  <c r="A141" i="1" s="1"/>
  <c r="I140" i="1" a="1"/>
  <c r="I140" i="1" s="1"/>
  <c r="H140" i="1" a="1"/>
  <c r="H140" i="1" s="1"/>
  <c r="I139" i="1" a="1"/>
  <c r="I139" i="1" s="1"/>
  <c r="H139" i="1" a="1"/>
  <c r="H139" i="1" s="1"/>
  <c r="I138" i="1" a="1"/>
  <c r="I138" i="1" s="1"/>
  <c r="H138" i="1" a="1"/>
  <c r="H138" i="1" s="1"/>
  <c r="I137" i="1" a="1"/>
  <c r="I137" i="1" s="1"/>
  <c r="H137" i="1" a="1"/>
  <c r="H137" i="1" s="1"/>
  <c r="A137" i="1" s="1"/>
  <c r="I136" i="1" a="1"/>
  <c r="I136" i="1" s="1"/>
  <c r="H136" i="1" a="1"/>
  <c r="H136" i="1" s="1"/>
  <c r="I135" i="1" a="1"/>
  <c r="I135" i="1" s="1"/>
  <c r="H135" i="1" a="1"/>
  <c r="H135" i="1" s="1"/>
  <c r="A135" i="1" s="1"/>
  <c r="I134" i="1" a="1"/>
  <c r="I134" i="1" s="1"/>
  <c r="H134" i="1" a="1"/>
  <c r="H134" i="1" s="1"/>
  <c r="I133" i="1" a="1"/>
  <c r="I133" i="1" s="1"/>
  <c r="H133" i="1" a="1"/>
  <c r="H133" i="1" s="1"/>
  <c r="A133" i="1" s="1"/>
  <c r="I132" i="1" a="1"/>
  <c r="I132" i="1" s="1"/>
  <c r="H132" i="1" a="1"/>
  <c r="H132" i="1" s="1"/>
  <c r="A132" i="1" s="1"/>
  <c r="I131" i="1" a="1"/>
  <c r="I131" i="1" s="1"/>
  <c r="H131" i="1" a="1"/>
  <c r="H131" i="1" s="1"/>
  <c r="A131" i="1" s="1"/>
  <c r="I130" i="1" a="1"/>
  <c r="I130" i="1" s="1"/>
  <c r="H130" i="1" a="1"/>
  <c r="H130" i="1" s="1"/>
  <c r="I129" i="1" a="1"/>
  <c r="I129" i="1" s="1"/>
  <c r="H129" i="1"/>
  <c r="A129" i="1" s="1"/>
  <c r="H129" i="1" a="1"/>
  <c r="I128" i="1" a="1"/>
  <c r="I128" i="1" s="1"/>
  <c r="H128" i="1" a="1"/>
  <c r="H128" i="1" s="1"/>
  <c r="A128" i="1" s="1"/>
  <c r="I127" i="1" a="1"/>
  <c r="I127" i="1" s="1"/>
  <c r="H127" i="1" a="1"/>
  <c r="H127" i="1" s="1"/>
  <c r="I126" i="1" a="1"/>
  <c r="I126" i="1" s="1"/>
  <c r="H126" i="1" a="1"/>
  <c r="H126" i="1" s="1"/>
  <c r="I125" i="1" a="1"/>
  <c r="I125" i="1" s="1"/>
  <c r="H125" i="1" a="1"/>
  <c r="H125" i="1" s="1"/>
  <c r="A125" i="1" s="1"/>
  <c r="I124" i="1" a="1"/>
  <c r="I124" i="1" s="1"/>
  <c r="H124" i="1" a="1"/>
  <c r="H124" i="1" s="1"/>
  <c r="A124" i="1" s="1"/>
  <c r="I123" i="1" a="1"/>
  <c r="I123" i="1" s="1"/>
  <c r="H123" i="1" a="1"/>
  <c r="H123" i="1" s="1"/>
  <c r="A123" i="1" s="1"/>
  <c r="I122" i="1" a="1"/>
  <c r="I122" i="1" s="1"/>
  <c r="H122" i="1" a="1"/>
  <c r="H122" i="1" s="1"/>
  <c r="I120" i="1" a="1"/>
  <c r="I120" i="1" s="1"/>
  <c r="H120" i="1" a="1"/>
  <c r="H120" i="1" s="1"/>
  <c r="I119" i="1" a="1"/>
  <c r="I119" i="1" s="1"/>
  <c r="H119" i="1" a="1"/>
  <c r="H119" i="1" s="1"/>
  <c r="I118" i="1" a="1"/>
  <c r="I118" i="1" s="1"/>
  <c r="H118" i="1" a="1"/>
  <c r="H118" i="1" s="1"/>
  <c r="I117" i="1" a="1"/>
  <c r="I117" i="1" s="1"/>
  <c r="H117" i="1" a="1"/>
  <c r="H117" i="1" s="1"/>
  <c r="I116" i="1" a="1"/>
  <c r="I116" i="1" s="1"/>
  <c r="H116" i="1" a="1"/>
  <c r="H116" i="1" s="1"/>
  <c r="I115" i="1" a="1"/>
  <c r="I115" i="1" s="1"/>
  <c r="H115" i="1" a="1"/>
  <c r="H115" i="1" s="1"/>
  <c r="I114" i="1" a="1"/>
  <c r="I114" i="1" s="1"/>
  <c r="H114" i="1" a="1"/>
  <c r="H114" i="1" s="1"/>
  <c r="I113" i="1"/>
  <c r="I113" i="1" a="1"/>
  <c r="H113" i="1" a="1"/>
  <c r="H113" i="1" s="1"/>
  <c r="I112" i="1" a="1"/>
  <c r="I112" i="1" s="1"/>
  <c r="H112" i="1" a="1"/>
  <c r="H112" i="1" s="1"/>
  <c r="I111" i="1" a="1"/>
  <c r="I111" i="1" s="1"/>
  <c r="H111" i="1" a="1"/>
  <c r="H111" i="1" s="1"/>
  <c r="I110" i="1" a="1"/>
  <c r="I110" i="1" s="1"/>
  <c r="H110" i="1" a="1"/>
  <c r="H110" i="1" s="1"/>
  <c r="I109" i="1" a="1"/>
  <c r="I109" i="1" s="1"/>
  <c r="H109" i="1" a="1"/>
  <c r="H109" i="1" s="1"/>
  <c r="I108" i="1" a="1"/>
  <c r="I108" i="1" s="1"/>
  <c r="H108" i="1" a="1"/>
  <c r="H108" i="1" s="1"/>
  <c r="I107" i="1" a="1"/>
  <c r="I107" i="1" s="1"/>
  <c r="H107" i="1" a="1"/>
  <c r="H107" i="1" s="1"/>
  <c r="I106" i="1" a="1"/>
  <c r="I106" i="1" s="1"/>
  <c r="H106" i="1" a="1"/>
  <c r="H106" i="1" s="1"/>
  <c r="I105" i="1" a="1"/>
  <c r="I105" i="1" s="1"/>
  <c r="H105" i="1" a="1"/>
  <c r="H105" i="1" s="1"/>
  <c r="I104" i="1" a="1"/>
  <c r="I104" i="1" s="1"/>
  <c r="H104" i="1" a="1"/>
  <c r="H104" i="1" s="1"/>
  <c r="I103" i="1" a="1"/>
  <c r="I103" i="1" s="1"/>
  <c r="H103" i="1" a="1"/>
  <c r="H103" i="1" s="1"/>
  <c r="I102" i="1" a="1"/>
  <c r="I102" i="1" s="1"/>
  <c r="H102" i="1" a="1"/>
  <c r="H102" i="1" s="1"/>
  <c r="I101" i="1" a="1"/>
  <c r="I101" i="1" s="1"/>
  <c r="H101" i="1" a="1"/>
  <c r="H101" i="1" s="1"/>
  <c r="I100" i="1" a="1"/>
  <c r="I100" i="1" s="1"/>
  <c r="H100" i="1" a="1"/>
  <c r="H100" i="1" s="1"/>
  <c r="I99" i="1" a="1"/>
  <c r="I99" i="1" s="1"/>
  <c r="H99" i="1" a="1"/>
  <c r="H99" i="1" s="1"/>
  <c r="A99" i="1" s="1"/>
  <c r="I98" i="1" a="1"/>
  <c r="I98" i="1" s="1"/>
  <c r="H98" i="1" a="1"/>
  <c r="H98" i="1" s="1"/>
  <c r="I97" i="1" a="1"/>
  <c r="I97" i="1" s="1"/>
  <c r="H97" i="1" a="1"/>
  <c r="H97" i="1" s="1"/>
  <c r="I96" i="1" a="1"/>
  <c r="I96" i="1" s="1"/>
  <c r="H96" i="1" a="1"/>
  <c r="H96" i="1" s="1"/>
  <c r="I95" i="1" a="1"/>
  <c r="I95" i="1" s="1"/>
  <c r="H95" i="1" a="1"/>
  <c r="H95" i="1" s="1"/>
  <c r="A95" i="1" s="1"/>
  <c r="I94" i="1" a="1"/>
  <c r="I94" i="1" s="1"/>
  <c r="H94" i="1" a="1"/>
  <c r="H94" i="1" s="1"/>
  <c r="I93" i="1" a="1"/>
  <c r="I93" i="1" s="1"/>
  <c r="H93" i="1" a="1"/>
  <c r="H93" i="1" s="1"/>
  <c r="I92" i="1" a="1"/>
  <c r="I92" i="1" s="1"/>
  <c r="H92" i="1" a="1"/>
  <c r="H92" i="1" s="1"/>
  <c r="I91" i="1" a="1"/>
  <c r="I91" i="1" s="1"/>
  <c r="H91" i="1" a="1"/>
  <c r="H91" i="1" s="1"/>
  <c r="A91" i="1" s="1"/>
  <c r="I90" i="1" a="1"/>
  <c r="I90" i="1" s="1"/>
  <c r="H90" i="1" a="1"/>
  <c r="H90" i="1" s="1"/>
  <c r="A90" i="1" s="1"/>
  <c r="I89" i="1"/>
  <c r="I89" i="1" a="1"/>
  <c r="H89" i="1" a="1"/>
  <c r="H89" i="1" s="1"/>
  <c r="I88" i="1"/>
  <c r="I88" i="1" a="1"/>
  <c r="H88" i="1" a="1"/>
  <c r="H88" i="1" s="1"/>
  <c r="A88" i="1" s="1"/>
  <c r="I87" i="1" a="1"/>
  <c r="I87" i="1" s="1"/>
  <c r="H87" i="1" a="1"/>
  <c r="H87" i="1" s="1"/>
  <c r="I86" i="1" a="1"/>
  <c r="I86" i="1" s="1"/>
  <c r="H86" i="1" a="1"/>
  <c r="H86" i="1" s="1"/>
  <c r="A86" i="1" s="1"/>
  <c r="I85" i="1"/>
  <c r="I85" i="1" a="1"/>
  <c r="H85" i="1" a="1"/>
  <c r="H85" i="1" s="1"/>
  <c r="I84" i="1"/>
  <c r="I84" i="1" a="1"/>
  <c r="H84" i="1" a="1"/>
  <c r="H84" i="1" s="1"/>
  <c r="A84" i="1" s="1"/>
  <c r="I83" i="1" a="1"/>
  <c r="I83" i="1" s="1"/>
  <c r="A83" i="1" s="1"/>
  <c r="H83" i="1" a="1"/>
  <c r="H83" i="1" s="1"/>
  <c r="I82" i="1" a="1"/>
  <c r="I82" i="1" s="1"/>
  <c r="H82" i="1" a="1"/>
  <c r="H82" i="1" s="1"/>
  <c r="I81" i="1"/>
  <c r="I81" i="1" a="1"/>
  <c r="H81" i="1" a="1"/>
  <c r="H81" i="1" s="1"/>
  <c r="I80" i="1"/>
  <c r="I80" i="1" a="1"/>
  <c r="H80" i="1" a="1"/>
  <c r="H80" i="1" s="1"/>
  <c r="A80" i="1" s="1"/>
  <c r="I79" i="1" a="1"/>
  <c r="I79" i="1" s="1"/>
  <c r="H79" i="1" a="1"/>
  <c r="H79" i="1" s="1"/>
  <c r="I78" i="1" a="1"/>
  <c r="I78" i="1" s="1"/>
  <c r="H78" i="1" a="1"/>
  <c r="H78" i="1" s="1"/>
  <c r="I77" i="1" a="1"/>
  <c r="I77" i="1" s="1"/>
  <c r="H77" i="1" a="1"/>
  <c r="H77" i="1" s="1"/>
  <c r="I76" i="1" a="1"/>
  <c r="I76" i="1" s="1"/>
  <c r="H76" i="1" a="1"/>
  <c r="H76" i="1" s="1"/>
  <c r="I75" i="1" a="1"/>
  <c r="I75" i="1" s="1"/>
  <c r="H75" i="1" a="1"/>
  <c r="H75" i="1" s="1"/>
  <c r="A75" i="1" s="1"/>
  <c r="I74" i="1" a="1"/>
  <c r="I74" i="1" s="1"/>
  <c r="H74" i="1" a="1"/>
  <c r="H74" i="1" s="1"/>
  <c r="A74" i="1" s="1"/>
  <c r="I73" i="1" a="1"/>
  <c r="I73" i="1" s="1"/>
  <c r="H73" i="1" a="1"/>
  <c r="H73" i="1" s="1"/>
  <c r="I72" i="1" a="1"/>
  <c r="I72" i="1" s="1"/>
  <c r="H72" i="1" a="1"/>
  <c r="H72" i="1" s="1"/>
  <c r="I71" i="1" a="1"/>
  <c r="I71" i="1" s="1"/>
  <c r="H71" i="1" a="1"/>
  <c r="H71" i="1" s="1"/>
  <c r="A71" i="1" s="1"/>
  <c r="I70" i="1" a="1"/>
  <c r="I70" i="1" s="1"/>
  <c r="H70" i="1" a="1"/>
  <c r="H70" i="1" s="1"/>
  <c r="I69" i="1" a="1"/>
  <c r="I69" i="1" s="1"/>
  <c r="H69" i="1" a="1"/>
  <c r="H69" i="1" s="1"/>
  <c r="I68" i="1" a="1"/>
  <c r="I68" i="1" s="1"/>
  <c r="H68" i="1" a="1"/>
  <c r="H68" i="1" s="1"/>
  <c r="I67" i="1" a="1"/>
  <c r="I67" i="1" s="1"/>
  <c r="H67" i="1" a="1"/>
  <c r="H67" i="1" s="1"/>
  <c r="A67" i="1" s="1"/>
  <c r="I66" i="1" a="1"/>
  <c r="I66" i="1" s="1"/>
  <c r="H66" i="1" a="1"/>
  <c r="H66" i="1" s="1"/>
  <c r="A66" i="1" s="1"/>
  <c r="I65" i="1" a="1"/>
  <c r="I65" i="1" s="1"/>
  <c r="H65" i="1" a="1"/>
  <c r="H65" i="1" s="1"/>
  <c r="I64" i="1" a="1"/>
  <c r="I64" i="1" s="1"/>
  <c r="H64" i="1" a="1"/>
  <c r="H64" i="1" s="1"/>
  <c r="I63" i="1" a="1"/>
  <c r="I63" i="1" s="1"/>
  <c r="H63" i="1" a="1"/>
  <c r="H63" i="1" s="1"/>
  <c r="I62" i="1" a="1"/>
  <c r="I62" i="1" s="1"/>
  <c r="H62" i="1" a="1"/>
  <c r="H62" i="1" s="1"/>
  <c r="I61" i="1" a="1"/>
  <c r="I61" i="1" s="1"/>
  <c r="H61" i="1" a="1"/>
  <c r="H61" i="1" s="1"/>
  <c r="I60" i="1" a="1"/>
  <c r="I60" i="1" s="1"/>
  <c r="H60" i="1" a="1"/>
  <c r="H60" i="1" s="1"/>
  <c r="I59" i="1" a="1"/>
  <c r="I59" i="1" s="1"/>
  <c r="H59" i="1" a="1"/>
  <c r="H59" i="1" s="1"/>
  <c r="A59" i="1" s="1"/>
  <c r="I58" i="1" a="1"/>
  <c r="I58" i="1" s="1"/>
  <c r="H58" i="1" a="1"/>
  <c r="H58" i="1" s="1"/>
  <c r="I57" i="1" a="1"/>
  <c r="I57" i="1" s="1"/>
  <c r="H57" i="1" a="1"/>
  <c r="H57" i="1" s="1"/>
  <c r="I56" i="1" a="1"/>
  <c r="I56" i="1" s="1"/>
  <c r="H56" i="1" a="1"/>
  <c r="H56" i="1" s="1"/>
  <c r="I55" i="1" a="1"/>
  <c r="I55" i="1" s="1"/>
  <c r="H55" i="1" a="1"/>
  <c r="H55" i="1" s="1"/>
  <c r="I54" i="1" a="1"/>
  <c r="I54" i="1" s="1"/>
  <c r="H54" i="1" a="1"/>
  <c r="H54" i="1" s="1"/>
  <c r="A54" i="1" s="1"/>
  <c r="I53" i="1" a="1"/>
  <c r="I53" i="1" s="1"/>
  <c r="H53" i="1" a="1"/>
  <c r="H53" i="1" s="1"/>
  <c r="I52" i="1" a="1"/>
  <c r="I52" i="1" s="1"/>
  <c r="H52" i="1" a="1"/>
  <c r="H52" i="1" s="1"/>
  <c r="I51" i="1" a="1"/>
  <c r="I51" i="1" s="1"/>
  <c r="H51" i="1" a="1"/>
  <c r="H51" i="1" s="1"/>
  <c r="A51" i="1" s="1"/>
  <c r="I50" i="1" a="1"/>
  <c r="I50" i="1" s="1"/>
  <c r="H50" i="1" a="1"/>
  <c r="H50" i="1" s="1"/>
  <c r="A50" i="1" s="1"/>
  <c r="I49" i="1"/>
  <c r="I49" i="1" a="1"/>
  <c r="H49" i="1" a="1"/>
  <c r="H49" i="1" s="1"/>
  <c r="A49" i="1" s="1"/>
  <c r="I48" i="1" a="1"/>
  <c r="I48" i="1" s="1"/>
  <c r="H48" i="1" a="1"/>
  <c r="H48" i="1" s="1"/>
  <c r="I47" i="1" a="1"/>
  <c r="I47" i="1" s="1"/>
  <c r="H47" i="1" a="1"/>
  <c r="H47" i="1" s="1"/>
  <c r="A47" i="1" s="1"/>
  <c r="I46" i="1" a="1"/>
  <c r="I46" i="1" s="1"/>
  <c r="H46" i="1" a="1"/>
  <c r="H46" i="1" s="1"/>
  <c r="I45" i="1" a="1"/>
  <c r="I45" i="1" s="1"/>
  <c r="H45" i="1" a="1"/>
  <c r="H45" i="1" s="1"/>
  <c r="I44" i="1" a="1"/>
  <c r="I44" i="1" s="1"/>
  <c r="H44" i="1" a="1"/>
  <c r="H44" i="1" s="1"/>
  <c r="A44" i="1" s="1"/>
  <c r="I43" i="1" a="1"/>
  <c r="I43" i="1" s="1"/>
  <c r="H43" i="1" a="1"/>
  <c r="H43" i="1" s="1"/>
  <c r="I42" i="1" a="1"/>
  <c r="I42" i="1" s="1"/>
  <c r="H42" i="1" a="1"/>
  <c r="H42" i="1" s="1"/>
  <c r="I41" i="1" a="1"/>
  <c r="I41" i="1" s="1"/>
  <c r="H41" i="1" a="1"/>
  <c r="H41" i="1" s="1"/>
  <c r="I40" i="1" a="1"/>
  <c r="I40" i="1" s="1"/>
  <c r="H40" i="1" a="1"/>
  <c r="H40" i="1" s="1"/>
  <c r="I39" i="1" a="1"/>
  <c r="I39" i="1" s="1"/>
  <c r="A39" i="1" s="1"/>
  <c r="H39" i="1" a="1"/>
  <c r="H39" i="1" s="1"/>
  <c r="I38" i="1" a="1"/>
  <c r="I38" i="1" s="1"/>
  <c r="H38" i="1" a="1"/>
  <c r="H38" i="1" s="1"/>
  <c r="I37" i="1" a="1"/>
  <c r="I37" i="1" s="1"/>
  <c r="H37" i="1" a="1"/>
  <c r="H37" i="1" s="1"/>
  <c r="I36" i="1" a="1"/>
  <c r="I36" i="1" s="1"/>
  <c r="H36" i="1" a="1"/>
  <c r="H36" i="1" s="1"/>
  <c r="I35" i="1" a="1"/>
  <c r="I35" i="1" s="1"/>
  <c r="H35" i="1" a="1"/>
  <c r="H35" i="1" s="1"/>
  <c r="A35" i="1" s="1"/>
  <c r="I34" i="1" a="1"/>
  <c r="I34" i="1" s="1"/>
  <c r="H34" i="1" a="1"/>
  <c r="H34" i="1" s="1"/>
  <c r="I33" i="1" a="1"/>
  <c r="I33" i="1" s="1"/>
  <c r="H33" i="1" a="1"/>
  <c r="H33" i="1" s="1"/>
  <c r="I32" i="1" a="1"/>
  <c r="I32" i="1" s="1"/>
  <c r="H32" i="1"/>
  <c r="H32" i="1" a="1"/>
  <c r="I31" i="1" a="1"/>
  <c r="I31" i="1" s="1"/>
  <c r="H31" i="1" a="1"/>
  <c r="H31" i="1" s="1"/>
  <c r="A31" i="1" s="1"/>
  <c r="I30" i="1" a="1"/>
  <c r="I30" i="1" s="1"/>
  <c r="H30" i="1" a="1"/>
  <c r="H30" i="1" s="1"/>
  <c r="I29" i="1" a="1"/>
  <c r="I29" i="1" s="1"/>
  <c r="H29" i="1" a="1"/>
  <c r="H29" i="1" s="1"/>
  <c r="I28" i="1" a="1"/>
  <c r="I28" i="1" s="1"/>
  <c r="H28" i="1" a="1"/>
  <c r="H28" i="1" s="1"/>
  <c r="I27" i="1" a="1"/>
  <c r="I27" i="1" s="1"/>
  <c r="H27" i="1" a="1"/>
  <c r="H27" i="1" s="1"/>
  <c r="I26" i="1" a="1"/>
  <c r="I26" i="1" s="1"/>
  <c r="H26" i="1" a="1"/>
  <c r="H26" i="1" s="1"/>
  <c r="I25" i="1" a="1"/>
  <c r="I25" i="1" s="1"/>
  <c r="H25" i="1" a="1"/>
  <c r="H25" i="1" s="1"/>
  <c r="I24" i="1" a="1"/>
  <c r="I24" i="1" s="1"/>
  <c r="H24" i="1" a="1"/>
  <c r="H24" i="1" s="1"/>
  <c r="A24" i="1" s="1"/>
  <c r="I23" i="1" a="1"/>
  <c r="I23" i="1" s="1"/>
  <c r="A23" i="1" s="1"/>
  <c r="H23" i="1" a="1"/>
  <c r="H23" i="1" s="1"/>
  <c r="I22" i="1" a="1"/>
  <c r="I22" i="1" s="1"/>
  <c r="H22" i="1" a="1"/>
  <c r="H22" i="1" s="1"/>
  <c r="I21" i="1"/>
  <c r="I21" i="1" a="1"/>
  <c r="H21" i="1" a="1"/>
  <c r="H21" i="1" s="1"/>
  <c r="I20" i="1"/>
  <c r="I20" i="1" a="1"/>
  <c r="H20" i="1" a="1"/>
  <c r="H20" i="1" s="1"/>
  <c r="A20" i="1" s="1"/>
  <c r="I19" i="1" a="1"/>
  <c r="I19" i="1" s="1"/>
  <c r="H19" i="1" a="1"/>
  <c r="H19" i="1" s="1"/>
  <c r="I18" i="1" a="1"/>
  <c r="I18" i="1" s="1"/>
  <c r="H18" i="1" a="1"/>
  <c r="H18" i="1" s="1"/>
  <c r="I17" i="1" a="1"/>
  <c r="I17" i="1" s="1"/>
  <c r="H17" i="1" a="1"/>
  <c r="H17" i="1" s="1"/>
  <c r="I16" i="1" a="1"/>
  <c r="I16" i="1" s="1"/>
  <c r="H16" i="1"/>
  <c r="H16" i="1" a="1"/>
  <c r="I15" i="1" a="1"/>
  <c r="I15" i="1" s="1"/>
  <c r="H15" i="1" a="1"/>
  <c r="H15" i="1" s="1"/>
  <c r="I14" i="1" a="1"/>
  <c r="I14" i="1" s="1"/>
  <c r="H14" i="1" a="1"/>
  <c r="H14" i="1" s="1"/>
  <c r="A14" i="1" s="1"/>
  <c r="I13" i="1" a="1"/>
  <c r="I13" i="1" s="1"/>
  <c r="H13" i="1" a="1"/>
  <c r="H13" i="1" s="1"/>
  <c r="I12" i="1" a="1"/>
  <c r="I12" i="1" s="1"/>
  <c r="H12" i="1" a="1"/>
  <c r="H12" i="1" s="1"/>
  <c r="A12" i="1" s="1"/>
  <c r="I11" i="1" a="1"/>
  <c r="I11" i="1" s="1"/>
  <c r="H11" i="1" a="1"/>
  <c r="H11" i="1" s="1"/>
  <c r="I10" i="1" a="1"/>
  <c r="I10" i="1" s="1"/>
  <c r="H10" i="1" a="1"/>
  <c r="H10" i="1" s="1"/>
  <c r="I9" i="1" a="1"/>
  <c r="I9" i="1" s="1"/>
  <c r="H9" i="1" a="1"/>
  <c r="H9" i="1" s="1"/>
  <c r="I8" i="1"/>
  <c r="I8" i="1" a="1"/>
  <c r="H8" i="1" a="1"/>
  <c r="H8" i="1" s="1"/>
  <c r="I7" i="1" a="1"/>
  <c r="I7" i="1" s="1"/>
  <c r="H7" i="1" a="1"/>
  <c r="H7" i="1" s="1"/>
  <c r="I6" i="1" a="1"/>
  <c r="I6" i="1" s="1"/>
  <c r="H6" i="1" a="1"/>
  <c r="H6" i="1" s="1"/>
  <c r="A6" i="1" s="1"/>
  <c r="I5" i="1" a="1"/>
  <c r="I5" i="1" s="1"/>
  <c r="H5" i="1" a="1"/>
  <c r="H5" i="1" s="1"/>
  <c r="I4" i="1" a="1"/>
  <c r="I4" i="1" s="1"/>
  <c r="H4" i="1" a="1"/>
  <c r="H4" i="1" s="1"/>
  <c r="A4" i="1" s="1"/>
  <c r="I3" i="1" a="1"/>
  <c r="I3" i="1" s="1"/>
  <c r="H3" i="1" a="1"/>
  <c r="H3" i="1" s="1"/>
  <c r="I2" i="1" a="1"/>
  <c r="I2" i="1" s="1"/>
  <c r="H2" i="1" a="1"/>
  <c r="H2" i="1" s="1"/>
  <c r="A242" i="1" l="1"/>
  <c r="A254" i="1"/>
  <c r="A311" i="1"/>
  <c r="A322" i="1"/>
  <c r="A40" i="1"/>
  <c r="A220" i="1"/>
  <c r="A36" i="1"/>
  <c r="A169" i="1"/>
  <c r="A2" i="1"/>
  <c r="A11" i="1"/>
  <c r="A42" i="1"/>
  <c r="A55" i="1"/>
  <c r="A63" i="1"/>
  <c r="A68" i="1"/>
  <c r="A72" i="1"/>
  <c r="A103" i="1"/>
  <c r="A139" i="1"/>
  <c r="A148" i="1"/>
  <c r="A174" i="1"/>
  <c r="A214" i="1"/>
  <c r="A234" i="1"/>
  <c r="A239" i="1"/>
  <c r="A247" i="1"/>
  <c r="A255" i="1"/>
  <c r="A298" i="1"/>
  <c r="A337" i="1"/>
  <c r="A345" i="1"/>
  <c r="A208" i="1"/>
  <c r="A265" i="1"/>
  <c r="A28" i="1"/>
  <c r="A64" i="1"/>
  <c r="A100" i="1"/>
  <c r="A315" i="1"/>
  <c r="A85" i="1"/>
  <c r="A140" i="1"/>
  <c r="A207" i="1"/>
  <c r="A243" i="1"/>
  <c r="A60" i="1"/>
  <c r="A92" i="1"/>
  <c r="A104" i="1"/>
  <c r="A116" i="1"/>
  <c r="A8" i="1"/>
  <c r="A16" i="1"/>
  <c r="A30" i="1"/>
  <c r="A43" i="1"/>
  <c r="A48" i="1"/>
  <c r="A52" i="1"/>
  <c r="A73" i="1"/>
  <c r="A127" i="1"/>
  <c r="A136" i="1"/>
  <c r="A149" i="1"/>
  <c r="A167" i="1"/>
  <c r="A175" i="1"/>
  <c r="A189" i="1"/>
  <c r="A227" i="1"/>
  <c r="A248" i="1"/>
  <c r="A279" i="1"/>
  <c r="A295" i="1"/>
  <c r="A303" i="1"/>
  <c r="A333" i="1"/>
  <c r="A56" i="1"/>
  <c r="A253" i="1"/>
  <c r="A284" i="1"/>
  <c r="A61" i="1"/>
  <c r="A97" i="1"/>
  <c r="A232" i="1"/>
  <c r="A213" i="1"/>
  <c r="A321" i="1"/>
  <c r="A10" i="1"/>
  <c r="A27" i="1"/>
  <c r="A62" i="1"/>
  <c r="A98" i="1"/>
  <c r="A102" i="1"/>
  <c r="A106" i="1"/>
  <c r="A151" i="1"/>
  <c r="A160" i="1"/>
  <c r="A177" i="1"/>
  <c r="A181" i="1"/>
  <c r="A186" i="1"/>
  <c r="A191" i="1"/>
  <c r="A217" i="1"/>
  <c r="A305" i="1"/>
  <c r="A331" i="1"/>
  <c r="A340" i="1"/>
  <c r="A79" i="1"/>
  <c r="A87" i="1"/>
  <c r="A45" i="1"/>
  <c r="A228" i="1"/>
  <c r="A93" i="1"/>
  <c r="A115" i="1"/>
  <c r="A212" i="1"/>
  <c r="A235" i="1"/>
  <c r="A266" i="1"/>
  <c r="A270" i="1"/>
  <c r="A327" i="1"/>
  <c r="A346" i="1"/>
  <c r="A7" i="1"/>
  <c r="A21" i="1"/>
  <c r="A69" i="1"/>
  <c r="A81" i="1"/>
  <c r="A105" i="1"/>
  <c r="A18" i="1"/>
  <c r="A112" i="1"/>
  <c r="A194" i="1"/>
  <c r="A198" i="1"/>
  <c r="A267" i="1"/>
  <c r="A288" i="1"/>
  <c r="A302" i="1"/>
  <c r="A306" i="1"/>
  <c r="A313" i="1"/>
  <c r="A108" i="1"/>
  <c r="A263" i="1"/>
  <c r="A37" i="1"/>
  <c r="A109" i="1"/>
  <c r="A332" i="1"/>
  <c r="A15" i="1"/>
  <c r="A5" i="1"/>
  <c r="A19" i="1"/>
  <c r="A113" i="1"/>
  <c r="A172" i="1"/>
  <c r="A176" i="1"/>
  <c r="A240" i="1"/>
  <c r="A268" i="1"/>
  <c r="A272" i="1"/>
  <c r="A297" i="1"/>
  <c r="A307" i="1"/>
  <c r="A336" i="1"/>
  <c r="A343" i="1"/>
  <c r="A118" i="1"/>
  <c r="A26" i="1"/>
  <c r="A38" i="1"/>
  <c r="A76" i="1"/>
  <c r="A110" i="1"/>
  <c r="A120" i="1"/>
  <c r="A184" i="1"/>
  <c r="A188" i="1"/>
  <c r="A258" i="1"/>
  <c r="A286" i="1"/>
  <c r="A290" i="1"/>
  <c r="A293" i="1"/>
  <c r="A344" i="1"/>
  <c r="A223" i="1"/>
  <c r="A282" i="1"/>
  <c r="A341" i="1"/>
  <c r="A57" i="1"/>
  <c r="A41" i="1"/>
  <c r="A65" i="1"/>
  <c r="A77" i="1"/>
  <c r="A117" i="1"/>
  <c r="A89" i="1"/>
  <c r="A101" i="1"/>
  <c r="A114" i="1"/>
  <c r="A231" i="1"/>
  <c r="A245" i="1"/>
  <c r="A273" i="1"/>
  <c r="A276" i="1"/>
  <c r="A319" i="1"/>
  <c r="A326" i="1"/>
  <c r="A33" i="1"/>
  <c r="A25" i="1"/>
  <c r="A96" i="1"/>
  <c r="A119" i="1"/>
  <c r="A219" i="1"/>
  <c r="A233" i="1"/>
  <c r="A278" i="1"/>
  <c r="A342" i="1"/>
  <c r="A9" i="1"/>
  <c r="A29" i="1"/>
  <c r="A32" i="1"/>
  <c r="A53" i="1"/>
  <c r="A107" i="1"/>
  <c r="A13" i="1"/>
  <c r="A3" i="1"/>
  <c r="A17" i="1"/>
  <c r="A111" i="1"/>
  <c r="A122" i="1"/>
  <c r="A126" i="1"/>
  <c r="A130" i="1"/>
  <c r="A134" i="1"/>
  <c r="A138" i="1"/>
  <c r="A142" i="1"/>
  <c r="A146" i="1"/>
  <c r="A150" i="1"/>
  <c r="A154" i="1"/>
  <c r="A158" i="1"/>
  <c r="A162" i="1"/>
  <c r="A166" i="1"/>
  <c r="A259" i="1"/>
  <c r="A262" i="1"/>
  <c r="A269" i="1"/>
  <c r="A334" i="1"/>
  <c r="A349" i="1"/>
  <c r="A121" i="1"/>
  <c r="A78" i="1"/>
  <c r="A34" i="1"/>
  <c r="A46" i="1"/>
  <c r="A58" i="1"/>
  <c r="A22" i="1"/>
  <c r="A70" i="1"/>
  <c r="A82" i="1"/>
  <c r="A94" i="1"/>
  <c r="A204" i="1"/>
  <c r="A211" i="1"/>
  <c r="A221" i="1"/>
  <c r="A238" i="1"/>
  <c r="A252" i="1"/>
  <c r="A292" i="1"/>
  <c r="A309" i="1"/>
  <c r="A316" i="1"/>
  <c r="A320" i="1"/>
  <c r="A338" i="1"/>
  <c r="A310" i="1"/>
  <c r="A317" i="1"/>
  <c r="A249" i="1"/>
  <c r="A300" i="1"/>
  <c r="A206" i="1"/>
  <c r="A209" i="1"/>
  <c r="A283" i="1"/>
  <c r="A329" i="1"/>
  <c r="A163" i="1"/>
  <c r="A173" i="1"/>
  <c r="A183" i="1"/>
  <c r="A193" i="1"/>
  <c r="A203" i="1"/>
  <c r="A230" i="1"/>
  <c r="A257" i="1"/>
  <c r="A264" i="1"/>
  <c r="A271" i="1"/>
  <c r="A280" i="1"/>
  <c r="A291" i="1"/>
  <c r="A312" i="1"/>
  <c r="A170" i="1"/>
  <c r="A180" i="1"/>
  <c r="A190" i="1"/>
  <c r="A200" i="1"/>
  <c r="A210" i="1"/>
  <c r="A237" i="1"/>
  <c r="A244" i="1"/>
  <c r="A251" i="1"/>
  <c r="A261" i="1"/>
  <c r="A277" i="1"/>
  <c r="A287" i="1"/>
  <c r="A308" i="1"/>
  <c r="A33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0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<sst xmlns="http://schemas.openxmlformats.org/spreadsheetml/2006/main" count="2205" uniqueCount="338">
  <si>
    <t>Filename</t>
  </si>
  <si>
    <t>Journal</t>
  </si>
  <si>
    <t>DOI</t>
  </si>
  <si>
    <t>Source1</t>
  </si>
  <si>
    <t>Source2</t>
  </si>
  <si>
    <t>License</t>
  </si>
  <si>
    <t>Counts</t>
  </si>
  <si>
    <t>Prefix</t>
  </si>
  <si>
    <t>Suffix</t>
  </si>
  <si>
    <t>homo</t>
  </si>
  <si>
    <t>block</t>
  </si>
  <si>
    <t>random</t>
  </si>
  <si>
    <t>charged</t>
  </si>
  <si>
    <t>polysach</t>
  </si>
  <si>
    <t>graft</t>
  </si>
  <si>
    <t>stat</t>
  </si>
  <si>
    <t xml:space="preserve">cylic </t>
  </si>
  <si>
    <t>armed/star</t>
  </si>
  <si>
    <t>corsslink</t>
  </si>
  <si>
    <t>segmented</t>
  </si>
  <si>
    <t>ACS Macro Letters</t>
  </si>
  <si>
    <t>https://doi.org/10.1021/acsmacrolett.0c00044</t>
  </si>
  <si>
    <t>MAIN</t>
  </si>
  <si>
    <t>Figure 1</t>
  </si>
  <si>
    <t>CC-BY</t>
  </si>
  <si>
    <t>https://doi.org/10.1021/acsmacrolett.0c00175</t>
  </si>
  <si>
    <t>CC-BY-NC-ND</t>
  </si>
  <si>
    <t>https://doi.org/10.1021/acsmacrolett.0c00241</t>
  </si>
  <si>
    <t>https://doi.org/10.1021/acsmacrolett.0c00461</t>
  </si>
  <si>
    <t>Figure 2</t>
  </si>
  <si>
    <t>https://doi.org/10.1021/acsmacrolett.0c00469</t>
  </si>
  <si>
    <t>Scheme 1</t>
  </si>
  <si>
    <t>https://doi.org/10.1021/acsmacrolett.0c00495</t>
  </si>
  <si>
    <t>CC-BY 4.0</t>
  </si>
  <si>
    <t>https://doi.org/10.1021/acsmacrolett.0c00645</t>
  </si>
  <si>
    <t>https://doi.org/10.1021/acsmacrolett.0c00784</t>
  </si>
  <si>
    <t>https://doi.org/10.1021/acsmacrolett.0c00849</t>
  </si>
  <si>
    <t>https://doi.org/10.1021/acsmacrolett.1c00142</t>
  </si>
  <si>
    <t>https://doi.org/10.1021/acsmacrolett.1c00457</t>
  </si>
  <si>
    <t>https://doi.org/10.1021/acsmacrolett.1c00558</t>
  </si>
  <si>
    <t>CC-BY-NC-ND 4.0</t>
  </si>
  <si>
    <t>https://doi.org/10.1021/acsmacrolett.1c00564</t>
  </si>
  <si>
    <t>Figure 4</t>
  </si>
  <si>
    <t>https://doi.org/10.1021/acsmacrolett.1c00628</t>
  </si>
  <si>
    <t>Figure 3</t>
  </si>
  <si>
    <t>https://doi.org/10.1021/acsmacrolett.1c00647</t>
  </si>
  <si>
    <t>https://doi.org/10.1021/acsmacrolett.1c00676</t>
  </si>
  <si>
    <t>Abstract</t>
  </si>
  <si>
    <t>https://doi.org/10.1021/acsmacrolett.1c00682</t>
  </si>
  <si>
    <t>https://doi.org/10.1021/acsmacrolett.1c00686</t>
  </si>
  <si>
    <t>https://doi.org/10.1021/acsmacrolett.1c00712</t>
  </si>
  <si>
    <t>https://doi.org/10.1021/acsmacrolett.1c00716</t>
  </si>
  <si>
    <t>https://doi.org/10.1021/acsmacrolett.1c00758</t>
  </si>
  <si>
    <t>https://doi.org/10.1021/acsmacrolett.1c00776</t>
  </si>
  <si>
    <t>https://doi.org/10.1021/acsmacrolett.2c00004</t>
  </si>
  <si>
    <t>Scheme 2</t>
  </si>
  <si>
    <t>Scheme 3</t>
  </si>
  <si>
    <t>https://doi.org/10.1021/acsmacrolett.2c00136</t>
  </si>
  <si>
    <t>https://doi.org/10.1021/acsmacrolett.2c00302</t>
  </si>
  <si>
    <t>https://doi.org/10.1021/acsmacrolett.2c00359</t>
  </si>
  <si>
    <t>https://doi.org/10.1021/acsmacrolett.2c00455</t>
  </si>
  <si>
    <t>https://doi.org/10.1021/acsmacrolett.2c00506</t>
  </si>
  <si>
    <t>https://doi.org/10.1021/acsmacrolett.2c00672</t>
  </si>
  <si>
    <t>https://doi.org/10.1021/acsmacrolett.2c00699</t>
  </si>
  <si>
    <t>https://doi.org/10.1021/acsmacrolett.2c00701</t>
  </si>
  <si>
    <t>https://doi.org/10.1021/acsmacrolett.2c00737</t>
  </si>
  <si>
    <t>https://doi.org/10.1021/acsmacrolett.2c00743</t>
  </si>
  <si>
    <t>https://doi.org/10.1021/acsmacrolett.3c00021</t>
  </si>
  <si>
    <t>Chart 1</t>
  </si>
  <si>
    <t>https://doi.org/10.1021/acsmacrolett.3c00044</t>
  </si>
  <si>
    <t>https://doi.org/10.1021/acsmacrolett.3c00055</t>
  </si>
  <si>
    <t>https://doi.org/10.1021/acsmacrolett.3c00208</t>
  </si>
  <si>
    <t>https://doi.org/10.1021/acsmacrolett.3c00217</t>
  </si>
  <si>
    <t>https://doi.org/10.1021/acsmacrolett.3c00276</t>
  </si>
  <si>
    <t>https://doi.org/10.1021/acsmacrolett.3c00355</t>
  </si>
  <si>
    <t>https://doi.org/10.1021/acsmacrolett.3c00371</t>
  </si>
  <si>
    <t>https://doi.org/10.1021/acsmacrolett.3c00382</t>
  </si>
  <si>
    <t>https://doi.org/10.1021/acsmacrolett.3c00389</t>
  </si>
  <si>
    <t>https://doi.org/10.1021/acsmacrolett.3c00397</t>
  </si>
  <si>
    <t>https://doi.org/10.1021/acsmacrolett.3c00418</t>
  </si>
  <si>
    <t>Figure 5</t>
  </si>
  <si>
    <t>https://doi.org/10.1021/acsmacrolett.3c00460</t>
  </si>
  <si>
    <t>https://doi.org/10.1021/acsmacrolett.3c00481</t>
  </si>
  <si>
    <t>https://doi.org/10.1021/acsmacrolett.3c00657</t>
  </si>
  <si>
    <t>https://doi.org/10.1021/acsmacrolett.3c00714</t>
  </si>
  <si>
    <t>https://doi.org/10.1021/acsmacrolett.3c00751</t>
  </si>
  <si>
    <t>https://doi.org/10.1021/acsmacrolett.4c00069</t>
  </si>
  <si>
    <t>https://doi.org/10.1021/acsmacrolett.4c00101</t>
  </si>
  <si>
    <t>https://doi.org/10.1021/acsmacrolett.4c00117</t>
  </si>
  <si>
    <t>https://doi.org/10.1021/acsmacrolett.4c00204</t>
  </si>
  <si>
    <t>https://doi.org/10.1021/acsmacrolett.4c00313</t>
  </si>
  <si>
    <t>https://doi.org/10.1021/acsmacrolett.4c00321</t>
  </si>
  <si>
    <t>https://doi.org/10.1021/acsmacrolett.4c00368</t>
  </si>
  <si>
    <t>https://doi.org/10.1021/acsmacrolett.4c00400</t>
  </si>
  <si>
    <t>https://doi.org/10.1021/acsmacrolett.4c00404</t>
  </si>
  <si>
    <t>https://doi.org/10.1021/acsmacrolett.4c00461</t>
  </si>
  <si>
    <t>https://doi.org/10.1021/acsmacrolett.4c00463</t>
  </si>
  <si>
    <t>https://doi.org/10.1021/acsmacrolett.4c00534</t>
  </si>
  <si>
    <t>https://doi.org/10.1021/acsmacrolett.4c00550</t>
  </si>
  <si>
    <t>https://doi.org/10.1021/acsmacrolett.4c00556</t>
  </si>
  <si>
    <t>https://doi.org/10.1021/acsmacrolett.4c00642</t>
  </si>
  <si>
    <t>https://doi.org/10.1021/acsmacrolett.4c00651</t>
  </si>
  <si>
    <t>https://doi.org/10.1021/acsmacrolett.4c00665</t>
  </si>
  <si>
    <t>https://doi.org/10.1021/acsmacrolett.4c00675</t>
  </si>
  <si>
    <t>https://doi.org/10.1021/acsmacrolett.4c00758</t>
  </si>
  <si>
    <t>https://doi.org/10.1021/acsmacrolett.4c00810</t>
  </si>
  <si>
    <t>https://doi.org/10.1021/acsmacrolett.4c00839</t>
  </si>
  <si>
    <t>https://doi.org/10.1021/acsmacrolett.5c00009</t>
  </si>
  <si>
    <t>https://doi.org/10.1021/acsmacrolett.5c00043</t>
  </si>
  <si>
    <t>https://doi.org/10.1021/acsmacrolett.5c00053</t>
  </si>
  <si>
    <t>https://doi.org/10.1021/acsmacrolett.5c00065</t>
  </si>
  <si>
    <t>https://doi.org/10.1021/acsmacrolett.5c00165</t>
  </si>
  <si>
    <t>https://doi.org/10.1021/acsmacrolett.5c00171</t>
  </si>
  <si>
    <t>https://doi.org/10.1021/acsmacrolett.5c00205</t>
  </si>
  <si>
    <t>https://doi.org/10.1021/acsmacrolett.5c00317</t>
  </si>
  <si>
    <t>https://doi.org/10.1021/acsmacrolett.7b00723</t>
  </si>
  <si>
    <t>https://doi.org/10.1021/acsmacrolett.7b00891</t>
  </si>
  <si>
    <t>https://doi.org/10.1021/acsmacrolett.7b00905</t>
  </si>
  <si>
    <t>https://doi.org/10.1021/acsmacrolett.8b00168</t>
  </si>
  <si>
    <t>https://doi.org/10.1021/acsmacrolett.8b00675</t>
  </si>
  <si>
    <t>https://doi.org/10.1021/acsmacrolett.8b00807</t>
  </si>
  <si>
    <t>https://doi.org/10.1021/acsmacrolett.8b00825</t>
  </si>
  <si>
    <t>https://doi.org/10.1021/acsmacrolett.9b00258</t>
  </si>
  <si>
    <t>https://doi.org/10.1021/acsmacrolett.9b00386</t>
  </si>
  <si>
    <t>https://doi.org/10.1021/acsmacrolett.9b00459</t>
  </si>
  <si>
    <t>https://doi.org/10.1021/acsmacrolett.9b00792</t>
  </si>
  <si>
    <t>https://doi.org/10.1021/acsmacrolett.9b00814</t>
  </si>
  <si>
    <t>https://doi.org/10.1021/acsmacrolett.9b01023</t>
  </si>
  <si>
    <t>ACS Polymers Au</t>
  </si>
  <si>
    <t>https://doi.org/10.1021/acspolymersau.1c00005</t>
  </si>
  <si>
    <t>Figure 7</t>
  </si>
  <si>
    <t>https://doi.org/10.1021/acspolymersau.1c00008</t>
  </si>
  <si>
    <t>https://doi.org/10.1021/acspolymersau.1c00010</t>
  </si>
  <si>
    <t>https://doi.org/10.1021/acspolymersau.1c00011</t>
  </si>
  <si>
    <t>SI</t>
  </si>
  <si>
    <t>Page S2</t>
  </si>
  <si>
    <t>https://doi.org/10.1021/acspolymersau.1c00012</t>
  </si>
  <si>
    <t>https://doi.org/10.1021/acspolymersau.1c00015</t>
  </si>
  <si>
    <t>Figure 6</t>
  </si>
  <si>
    <t>https://doi.org/10.1021/acspolymersau.1c00017</t>
  </si>
  <si>
    <t>Figure S2</t>
  </si>
  <si>
    <t>https://doi.org/10.1021/acspolymersau.1c00021</t>
  </si>
  <si>
    <t>https://doi.org/10.1021/acspolymersau.1c00024</t>
  </si>
  <si>
    <t>https://doi.org/10.1021/acspolymersau.1c00027</t>
  </si>
  <si>
    <t>https://doi.org/10.1021/acspolymersau.1c00028</t>
  </si>
  <si>
    <t>Figure S3a</t>
  </si>
  <si>
    <t>Figure S3b</t>
  </si>
  <si>
    <t>Figure S3c</t>
  </si>
  <si>
    <t>Figure S3d</t>
  </si>
  <si>
    <t>Figure S3e</t>
  </si>
  <si>
    <t>Figure S3f</t>
  </si>
  <si>
    <t>Figure S3g</t>
  </si>
  <si>
    <t>Figure S3h</t>
  </si>
  <si>
    <t>Figure S4a</t>
  </si>
  <si>
    <t>Figure S4b</t>
  </si>
  <si>
    <t>Figure S4c</t>
  </si>
  <si>
    <t>https://doi.org/10.1021/acspolymersau.1c00029</t>
  </si>
  <si>
    <t>https://doi.org/10.1021/acspolymersau.1c00030</t>
  </si>
  <si>
    <t>Scheme S1</t>
  </si>
  <si>
    <t>Scheme S2</t>
  </si>
  <si>
    <t>Scheme S3</t>
  </si>
  <si>
    <t>https://doi.org/10.1021/acspolymersau.1c00032</t>
  </si>
  <si>
    <t>https://doi.org/10.1021/acspolymersau.1c00034</t>
  </si>
  <si>
    <t>https://doi.org/10.1021/acspolymersau.1c00036</t>
  </si>
  <si>
    <t>Page S10</t>
  </si>
  <si>
    <t>Page S8</t>
  </si>
  <si>
    <t>Page S9</t>
  </si>
  <si>
    <t>https://doi.org/10.1021/acspolymersau.1c00037</t>
  </si>
  <si>
    <t>https://doi.org/10.1021/acspolymersau.1c00041</t>
  </si>
  <si>
    <t>https://doi.org/10.1021/acspolymersau.1c00042</t>
  </si>
  <si>
    <t>https://doi.org/10.1021/acspolymersau.1c00044</t>
  </si>
  <si>
    <t>https://doi.org/10.1021/acspolymersau.1c00049</t>
  </si>
  <si>
    <t>https://doi.org/10.1021/acspolymersau.1c00052</t>
  </si>
  <si>
    <t>https://doi.org/10.1021/acspolymersau.1c00053</t>
  </si>
  <si>
    <t>Scheme 4</t>
  </si>
  <si>
    <t>Scheme 5</t>
  </si>
  <si>
    <t>https://doi.org/10.1021/acspolymersau.1c00054</t>
  </si>
  <si>
    <t>https://doi.org/10.1021/acspolymersau.1c00057</t>
  </si>
  <si>
    <t>https://doi.org/10.1021/acspolymersau.2c00001</t>
  </si>
  <si>
    <t>https://doi.org/10.1021/acspolymersau.2c00004</t>
  </si>
  <si>
    <t>https://doi.org/10.1021/acspolymersau.2c00005</t>
  </si>
  <si>
    <t>Figure S10a</t>
  </si>
  <si>
    <t>Figure S10b</t>
  </si>
  <si>
    <t>Figure S10c</t>
  </si>
  <si>
    <t>Figure S10d</t>
  </si>
  <si>
    <t>https://doi.org/10.1021/acspolymersau.2c00013</t>
  </si>
  <si>
    <t>Figure S13</t>
  </si>
  <si>
    <t>Figure S14</t>
  </si>
  <si>
    <t>Figure S15</t>
  </si>
  <si>
    <t>Figure S16</t>
  </si>
  <si>
    <t>Figure S17</t>
  </si>
  <si>
    <t>Figure S18</t>
  </si>
  <si>
    <t>Figure S19</t>
  </si>
  <si>
    <t>Figure S20</t>
  </si>
  <si>
    <t>Figure S21</t>
  </si>
  <si>
    <t>Figure S22</t>
  </si>
  <si>
    <t>https://doi.org/10.1021/acspolymersau.2c00014</t>
  </si>
  <si>
    <t>https://doi.org/10.1021/acspolymersau.2c00017</t>
  </si>
  <si>
    <t>Figure S1</t>
  </si>
  <si>
    <t>Figure S12</t>
  </si>
  <si>
    <t>Figure S5</t>
  </si>
  <si>
    <t>Figure S9</t>
  </si>
  <si>
    <t>https://doi.org/10.1021/acspolymersau.2c00019</t>
  </si>
  <si>
    <t>https://doi.org/10.1021/acspolymersau.2c00023</t>
  </si>
  <si>
    <t>Figure S6</t>
  </si>
  <si>
    <t>https://doi.org/10.1021/acspolymersau.2c00026</t>
  </si>
  <si>
    <t>Figure 8</t>
  </si>
  <si>
    <t>https://doi.org/10.1021/acspolymersau.2c00027</t>
  </si>
  <si>
    <t>https://doi.org/10.1021/acspolymersau.2c00028</t>
  </si>
  <si>
    <t>Figure S10</t>
  </si>
  <si>
    <t>CC-BY-NC 4.0</t>
  </si>
  <si>
    <t>https://doi.org/10.1021/acspolymersau.2c00030</t>
  </si>
  <si>
    <t>Page S5</t>
  </si>
  <si>
    <t>Page S6</t>
  </si>
  <si>
    <t>Page S7</t>
  </si>
  <si>
    <t>https://doi.org/10.1021/acspolymersau.2c00032</t>
  </si>
  <si>
    <t>Page S12</t>
  </si>
  <si>
    <t>https://doi.org/10.1021/acspolymersau.2c00034</t>
  </si>
  <si>
    <t>https://doi.org/10.1021/acspolymersau.2c00035</t>
  </si>
  <si>
    <t>https://doi.org/10.1021/acspolymersau.2c00036</t>
  </si>
  <si>
    <t>https://doi.org/10.1021/acspolymersau.2c00038</t>
  </si>
  <si>
    <t>https://doi.org/10.1021/acspolymersau.2c00044</t>
  </si>
  <si>
    <t>https://doi.org/10.1021/acspolymersau.2c00045</t>
  </si>
  <si>
    <t>Figure S3</t>
  </si>
  <si>
    <t>Figure S4</t>
  </si>
  <si>
    <t>https://doi.org/10.1021/acspolymersau.2c00047</t>
  </si>
  <si>
    <t>https://doi.org/10.1021/acspolymersau.2c00051</t>
  </si>
  <si>
    <t>https://doi.org/10.1021/acspolymersau.2c00060</t>
  </si>
  <si>
    <t>https://doi.org/10.1021/acspolymersau.2c00066</t>
  </si>
  <si>
    <t>https://doi.org/10.1021/acspolymersau.2c00068</t>
  </si>
  <si>
    <t>https://doi.org/10.1021/acspolymersau.2c00069</t>
  </si>
  <si>
    <t>https://doi.org/10.1021/acspolymersau.3c00003</t>
  </si>
  <si>
    <t>https://doi.org/10.1021/acspolymersau.3c00004</t>
  </si>
  <si>
    <t>https://doi.org/10.1021/acspolymersau.3c00006</t>
  </si>
  <si>
    <t>https://doi.org/10.1021/acspolymersau.3c00010</t>
  </si>
  <si>
    <t>https://doi.org/10.1021/acspolymersau.3c00011</t>
  </si>
  <si>
    <t>Page S4</t>
  </si>
  <si>
    <t>https://doi.org/10.1021/acspolymersau.3c00012</t>
  </si>
  <si>
    <t>Page S11</t>
  </si>
  <si>
    <t>Page S13</t>
  </si>
  <si>
    <t>https://doi.org/10.1021/acspolymersau.3c00015</t>
  </si>
  <si>
    <t>https://doi.org/10.1021/acspolymersau.3c00017</t>
  </si>
  <si>
    <t>Scheme S4</t>
  </si>
  <si>
    <t>Scheme S5</t>
  </si>
  <si>
    <t>Scheme S6</t>
  </si>
  <si>
    <t>Scheme S7</t>
  </si>
  <si>
    <t>https://doi.org/10.1021/acspolymersau.3c00020</t>
  </si>
  <si>
    <t>https://doi.org/10.1021/acspolymersau.3c00021</t>
  </si>
  <si>
    <t>https://doi.org/10.1021/acspolymersau.3c00022</t>
  </si>
  <si>
    <t>https://doi.org/10.1021/acspolymersau.3c00026</t>
  </si>
  <si>
    <t>https://doi.org/10.1021/acspolymersau.3c00028</t>
  </si>
  <si>
    <t>Figure S7</t>
  </si>
  <si>
    <t>Figure S8</t>
  </si>
  <si>
    <t>https://doi.org/10.1021/acspolymersau.3c00029</t>
  </si>
  <si>
    <t>https://doi.org/10.1021/acspolymersau.3c00031</t>
  </si>
  <si>
    <t>https://doi.org/10.1021/acspolymersau.3c00033</t>
  </si>
  <si>
    <t>https://doi.org/10.1021/acspolymersau.3c00035</t>
  </si>
  <si>
    <t>https://doi.org/10.1021/acspolymersau.3c00037</t>
  </si>
  <si>
    <t>https://doi.org/10.1021/acspolymersau.3c00043</t>
  </si>
  <si>
    <t>https://doi.org/10.1021/acspolymersau.3c00046</t>
  </si>
  <si>
    <t>https://doi.org/10.1021/acspolymersau.3c00047</t>
  </si>
  <si>
    <t>https://doi.org/10.1021/acspolymersau.3c00048</t>
  </si>
  <si>
    <t>https://doi.org/10.1021/acspolymersau.3c00052</t>
  </si>
  <si>
    <t>https://doi.org/10.1021/acspolymersau.3c00056</t>
  </si>
  <si>
    <t>https://doi.org/10.1021/acspolymersau.4c00006</t>
  </si>
  <si>
    <t>https://doi.org/10.1021/acspolymersau.4c00009</t>
  </si>
  <si>
    <t>https://doi.org/10.1021/acspolymersau.4c00013</t>
  </si>
  <si>
    <t>https://doi.org/10.1021/acspolymersau.4c00029</t>
  </si>
  <si>
    <t>https://doi.org/10.1021/acspolymersau.4c00033</t>
  </si>
  <si>
    <t>https://doi.org/10.1021/acspolymersau.4c00048</t>
  </si>
  <si>
    <t>https://doi.org/10.1021/acspolymersau.4c00050</t>
  </si>
  <si>
    <t>https://doi.org/10.1021/acspolymersau.4c00059</t>
  </si>
  <si>
    <t>https://doi.org/10.1021/acspolymersau.4c00073</t>
  </si>
  <si>
    <t>https://doi.org/10.1021/acspolymersau.4c00074</t>
  </si>
  <si>
    <t>https://doi.org/10.1021/acspolymersau.4c00079</t>
  </si>
  <si>
    <t>https://doi.org/10.1021/acspolymersau.4c00088</t>
  </si>
  <si>
    <t>https://doi.org/10.1021/acspolymersau.4c00089</t>
  </si>
  <si>
    <t>https://doi.org/10.1021/acspolymersau.4c00095</t>
  </si>
  <si>
    <t>https://doi.org/10.1021/acspolymersau.4c00096</t>
  </si>
  <si>
    <t>https://doi.org/10.1021/acspolymersau.4c00099</t>
  </si>
  <si>
    <t>https://doi.org/10.1021/acspolymersau.4c00101</t>
  </si>
  <si>
    <t>https://doi.org/10.1021/acspolymersau.5c00007</t>
  </si>
  <si>
    <t>https://doi.org/10.1021/acspolymersau.5c00009</t>
  </si>
  <si>
    <t>https://doi.org/10.1021/acspolymersau.5c00012</t>
  </si>
  <si>
    <t>https://doi.org/10.1021/acspolymersau.5c00016</t>
  </si>
  <si>
    <t>https://doi.org/10.1021/acspolymersau.5c00020</t>
  </si>
  <si>
    <t>Macromolecules</t>
  </si>
  <si>
    <t>https://doi.org/10.1021/ma401311s</t>
  </si>
  <si>
    <t>macromolecules</t>
  </si>
  <si>
    <t>https://doi.org/10.1021/ma402069b</t>
  </si>
  <si>
    <t>https://doi.org/10.1021/ma500163u</t>
  </si>
  <si>
    <t>https://doi.org/10.1021/ma501140h</t>
  </si>
  <si>
    <t>https://doi.org/10.1021/ma5014308</t>
  </si>
  <si>
    <t>https://doi.org/10.1021/ma502460t</t>
  </si>
  <si>
    <t>https://doi.org/10.1021/ma502542g</t>
  </si>
  <si>
    <t>https://doi.org/10.1021/acs.macromol.5b00435</t>
  </si>
  <si>
    <t>https://doi.org/10.1021/acs.macromol.5b01293</t>
  </si>
  <si>
    <t>https://doi.org/10.1021/acs.macromol.5b01426</t>
  </si>
  <si>
    <t>https://doi.org/10.1021/acs.macromol.5b01994</t>
  </si>
  <si>
    <t>https://doi.org/10.1021/acs.macromol.5b02119</t>
  </si>
  <si>
    <t>https://doi.org/10.1021/acs.macromol.5b02152</t>
  </si>
  <si>
    <t>https://doi.org/10.1021/acs.macromol.5b02212</t>
  </si>
  <si>
    <t>https://doi.org/10.1021/acs.macromol.5b02267</t>
  </si>
  <si>
    <t>https://doi.org/10.1021/acs.macromol.5b02385</t>
  </si>
  <si>
    <t>https://doi.org/10.1021/acs.macromol.5b02470</t>
  </si>
  <si>
    <t>https://doi.org/10.1021/acs.macromol.5b02594</t>
  </si>
  <si>
    <t>https://doi.org/10.1021/acs.macromol.5b02602</t>
  </si>
  <si>
    <t>https://doi.org/10.1021/acs.macromol.5b02710</t>
  </si>
  <si>
    <t>https://doi.org/10.1021/acs.macromol.6b00422</t>
  </si>
  <si>
    <t>https://doi.org/10.1021/acs.macromol.6b00820</t>
  </si>
  <si>
    <t>https://doi.org/10.1021/acs.macromol.6b00987</t>
  </si>
  <si>
    <t>https://doi.org/10.1021/acs.macromol.6b01563</t>
  </si>
  <si>
    <t>https://doi.org/10.1021/acs.macromol.6b01729</t>
  </si>
  <si>
    <t>https://doi.org/10.1021/acs.macromol.6b01963</t>
  </si>
  <si>
    <t>https://doi.org/10.1021/acs.macromol.6b02309</t>
  </si>
  <si>
    <t>https://doi.org/10.1021/acs.macromol.6b02643</t>
  </si>
  <si>
    <t>https://doi.org/10.1021/acs.macromol.6b02727</t>
  </si>
  <si>
    <t>https://doi.org/10.1021/acs.macromol.7b00319</t>
  </si>
  <si>
    <t>https://doi.org/10.1021/acs.macromol.7b00475</t>
  </si>
  <si>
    <t>https://doi.org/10.1021/acs.macromol.7b01005</t>
  </si>
  <si>
    <t>https://doi.org/10.1021/acs.macromol.7b01475</t>
  </si>
  <si>
    <t>https://doi.org/10.1021/acs.macromol.7b01769</t>
  </si>
  <si>
    <t>https://doi.org/10.1021/acs.macromol.7b01832</t>
  </si>
  <si>
    <t>https://doi.org/10.1021/acs.macromol.7b02030</t>
  </si>
  <si>
    <t>https://doi.org/10.1021/acs.macromol.7b02136</t>
  </si>
  <si>
    <t>https://doi.org/10.1021/acs.macromol.7b02288</t>
  </si>
  <si>
    <t>https://doi.org/10.1021/acs.macromol.7b02457</t>
  </si>
  <si>
    <t>https://doi.org/10.1021/acs.macromol.7b02610</t>
  </si>
  <si>
    <t>https://doi.org/10.1021/acs.macromol.8b00178</t>
  </si>
  <si>
    <t>https://doi.org/10.1021/acs.macromol.8b00294</t>
  </si>
  <si>
    <t>https://doi.org/10.1021/acs.macromol.8b00715</t>
  </si>
  <si>
    <t>https://doi.org/10.1021/acs.macromol.8b00772</t>
  </si>
  <si>
    <t>https://doi.org/10.1021/acs.macromol.8b01077</t>
  </si>
  <si>
    <t>https://doi.org/10.1021/acs.macromol.8b01150</t>
  </si>
  <si>
    <t>https://doi.org/10.1021/acs.macromol.8b01224</t>
  </si>
  <si>
    <t>https://doi.org/10.1021/acs.macromol.8b01251</t>
  </si>
  <si>
    <t>alternative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</si>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</sst>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trike/>
      <sz val="12"/>
      <color theme="1"/>
      <name val="Aptos Narrow"/>
      <family val="2"/>
      <scheme val="minor"/>
    </font>
    <font>
      <strike/>
      <sz val="12"/>
      <name val="Aptos Narrow"/>
      <family val="2"/>
      <scheme val="minor"/>
    </font>
    <font>
      <sz val="12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3" borderId="0" xfId="0" applyFont="1" applyFill="1"/>
    <xf numFmtId="0" fontId="5" fillId="4" borderId="0" xfId="0" applyFont="1" applyFill="1"/>
    <xf numFmtId="0" fontId="0" fillId="0" borderId="0" xfId="0" applyFill="1"/>
    <xf numFmtId="0" fontId="0" fillId="0" borderId="0" xfId="0" applyFont="1"/>
    <xf numFmtId="0" fontId="0" fillId="0" borderId="0" xfId="0" applyFont="1" applyFill="1"/>
    <xf numFmtId="0" fontId="0" fillId="3" borderId="0" xfId="0" applyFont="1" applyFill="1"/>
    <xf numFmtId="0" fontId="0" fillId="2" borderId="0" xfId="0" applyFont="1" applyFill="1"/>
    <xf numFmtId="0" fontId="0" fillId="4" borderId="0" xfId="0" applyFont="1" applyFill="1"/>
    <xf numFmtId="0" fontId="0" fillId="5" borderId="0" xfId="0" applyFont="1" applyFill="1"/>
    <xf numFmtId="0" fontId="0" fillId="6" borderId="0" xfId="0" applyFont="1" applyFill="1"/>
    <xf numFmtId="0" fontId="0" fillId="7" borderId="0" xfId="0" applyFont="1" applyFill="1"/>
    <xf numFmtId="0" fontId="0" fillId="11" borderId="0" xfId="0" applyFont="1" applyFill="1"/>
    <xf numFmtId="0" fontId="0" fillId="9" borderId="0" xfId="0" applyFont="1" applyFill="1"/>
    <xf numFmtId="0" fontId="2" fillId="0" borderId="0" xfId="1" applyFont="1"/>
    <xf numFmtId="0" fontId="0" fillId="8" borderId="0" xfId="0" applyFont="1" applyFill="1"/>
    <xf numFmtId="0" fontId="1" fillId="0" borderId="0" xfId="0" applyFont="1" applyFill="1"/>
    <xf numFmtId="0" fontId="2" fillId="0" borderId="0" xfId="1" applyFont="1" applyFill="1"/>
    <xf numFmtId="0" fontId="0" fillId="12" borderId="0" xfId="0" applyFont="1" applyFill="1"/>
    <xf numFmtId="0" fontId="0" fillId="10" borderId="0" xfId="0" applyFont="1" applyFill="1"/>
    <xf numFmtId="0" fontId="0" fillId="1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21/acspolymersau.2c00051" TargetMode="External"/><Relationship Id="rId299" Type="http://schemas.openxmlformats.org/officeDocument/2006/relationships/hyperlink" Target="https://doi.org/10.1021/acsmacrolett.3c00397" TargetMode="External"/><Relationship Id="rId21" Type="http://schemas.openxmlformats.org/officeDocument/2006/relationships/hyperlink" Target="https://doi.org/10.1021/acspolymersau.1c00028" TargetMode="External"/><Relationship Id="rId63" Type="http://schemas.openxmlformats.org/officeDocument/2006/relationships/hyperlink" Target="https://doi.org/10.1021/acspolymersau.2c00005" TargetMode="External"/><Relationship Id="rId159" Type="http://schemas.openxmlformats.org/officeDocument/2006/relationships/hyperlink" Target="https://doi.org/10.1021/acspolymersau.3c00022" TargetMode="External"/><Relationship Id="rId324" Type="http://schemas.openxmlformats.org/officeDocument/2006/relationships/hyperlink" Target="https://doi.org/10.1021/acsmacrolett.4c00461" TargetMode="External"/><Relationship Id="rId366" Type="http://schemas.openxmlformats.org/officeDocument/2006/relationships/hyperlink" Target="https://doi.org/10.1021/acs.macromol.5b02267" TargetMode="External"/><Relationship Id="rId170" Type="http://schemas.openxmlformats.org/officeDocument/2006/relationships/hyperlink" Target="https://doi.org/10.1021/acspolymersau.3c00021" TargetMode="External"/><Relationship Id="rId226" Type="http://schemas.openxmlformats.org/officeDocument/2006/relationships/hyperlink" Target="https://doi.org/10.1021/acsmacrolett.9b00258" TargetMode="External"/><Relationship Id="rId268" Type="http://schemas.openxmlformats.org/officeDocument/2006/relationships/hyperlink" Target="https://doi.org/10.1021/acsmacrolett.2c00701" TargetMode="External"/><Relationship Id="rId32" Type="http://schemas.openxmlformats.org/officeDocument/2006/relationships/hyperlink" Target="https://doi.org/10.1021/acspolymersau.1c00037" TargetMode="External"/><Relationship Id="rId74" Type="http://schemas.openxmlformats.org/officeDocument/2006/relationships/hyperlink" Target="https://doi.org/10.1021/acspolymersau.2c00013" TargetMode="External"/><Relationship Id="rId128" Type="http://schemas.openxmlformats.org/officeDocument/2006/relationships/hyperlink" Target="https://doi.org/10.1021/acspolymersau.3c00003" TargetMode="External"/><Relationship Id="rId335" Type="http://schemas.openxmlformats.org/officeDocument/2006/relationships/hyperlink" Target="https://doi.org/10.1021/acsmacrolett.5c00065" TargetMode="External"/><Relationship Id="rId377" Type="http://schemas.openxmlformats.org/officeDocument/2006/relationships/hyperlink" Target="https://doi.org/10.1021/acs.macromol.6b00820" TargetMode="External"/><Relationship Id="rId5" Type="http://schemas.openxmlformats.org/officeDocument/2006/relationships/hyperlink" Target="https://doi.org/10.1021/acspolymersau.1c00010" TargetMode="External"/><Relationship Id="rId181" Type="http://schemas.openxmlformats.org/officeDocument/2006/relationships/hyperlink" Target="https://doi.org/10.1021/acspolymersau.4c00009" TargetMode="External"/><Relationship Id="rId237" Type="http://schemas.openxmlformats.org/officeDocument/2006/relationships/hyperlink" Target="https://doi.org/10.1021/acsmacrolett.0c00495" TargetMode="External"/><Relationship Id="rId402" Type="http://schemas.openxmlformats.org/officeDocument/2006/relationships/hyperlink" Target="https://doi.org/10.1021/acs.macromol.8b00178" TargetMode="External"/><Relationship Id="rId279" Type="http://schemas.openxmlformats.org/officeDocument/2006/relationships/hyperlink" Target="https://doi.org/10.1021/acsmacrolett.3c00460" TargetMode="External"/><Relationship Id="rId43" Type="http://schemas.openxmlformats.org/officeDocument/2006/relationships/hyperlink" Target="https://doi.org/10.1021/acspolymersau.1c00044" TargetMode="External"/><Relationship Id="rId139" Type="http://schemas.openxmlformats.org/officeDocument/2006/relationships/hyperlink" Target="https://doi.org/10.1021/acspolymersau.3c00012" TargetMode="External"/><Relationship Id="rId290" Type="http://schemas.openxmlformats.org/officeDocument/2006/relationships/hyperlink" Target="https://doi.org/10.1021/acsmacrolett.3c00382" TargetMode="External"/><Relationship Id="rId304" Type="http://schemas.openxmlformats.org/officeDocument/2006/relationships/hyperlink" Target="https://doi.org/10.1021/acsmacrolett.4c00204" TargetMode="External"/><Relationship Id="rId346" Type="http://schemas.openxmlformats.org/officeDocument/2006/relationships/hyperlink" Target="https://doi.org/10.1021/ma501140h" TargetMode="External"/><Relationship Id="rId388" Type="http://schemas.openxmlformats.org/officeDocument/2006/relationships/hyperlink" Target="https://doi.org/10.1021/acs.macromol.6b02643" TargetMode="External"/><Relationship Id="rId85" Type="http://schemas.openxmlformats.org/officeDocument/2006/relationships/hyperlink" Target="https://doi.org/10.1021/acspolymersau.2c00017" TargetMode="External"/><Relationship Id="rId150" Type="http://schemas.openxmlformats.org/officeDocument/2006/relationships/hyperlink" Target="https://doi.org/10.1021/acspolymersau.3c00015" TargetMode="External"/><Relationship Id="rId192" Type="http://schemas.openxmlformats.org/officeDocument/2006/relationships/hyperlink" Target="https://doi.org/10.1021/acspolymersau.4c00073" TargetMode="External"/><Relationship Id="rId206" Type="http://schemas.openxmlformats.org/officeDocument/2006/relationships/hyperlink" Target="https://doi.org/10.1021/acspolymersau.5c00012" TargetMode="External"/><Relationship Id="rId413" Type="http://schemas.openxmlformats.org/officeDocument/2006/relationships/hyperlink" Target="https://doi.org/10.1021/acs.macromol.8b01251" TargetMode="External"/><Relationship Id="rId248" Type="http://schemas.openxmlformats.org/officeDocument/2006/relationships/hyperlink" Target="https://doi.org/10.1021/acsmacrolett.2c00004" TargetMode="External"/><Relationship Id="rId12" Type="http://schemas.openxmlformats.org/officeDocument/2006/relationships/hyperlink" Target="https://doi.org/10.1021/acspolymersau.1c00021" TargetMode="External"/><Relationship Id="rId108" Type="http://schemas.openxmlformats.org/officeDocument/2006/relationships/hyperlink" Target="https://doi.org/10.1021/acspolymersau.2c00045" TargetMode="External"/><Relationship Id="rId315" Type="http://schemas.openxmlformats.org/officeDocument/2006/relationships/hyperlink" Target="https://doi.org/10.1021/acsmacrolett.4c00642" TargetMode="External"/><Relationship Id="rId357" Type="http://schemas.openxmlformats.org/officeDocument/2006/relationships/hyperlink" Target="https://doi.org/10.1021/acs.macromol.5b01293" TargetMode="External"/><Relationship Id="rId54" Type="http://schemas.openxmlformats.org/officeDocument/2006/relationships/hyperlink" Target="https://doi.org/10.1021/acspolymersau.1c00054" TargetMode="External"/><Relationship Id="rId96" Type="http://schemas.openxmlformats.org/officeDocument/2006/relationships/hyperlink" Target="https://doi.org/10.1021/acspolymersau.2c00028" TargetMode="External"/><Relationship Id="rId161" Type="http://schemas.openxmlformats.org/officeDocument/2006/relationships/hyperlink" Target="https://doi.org/10.1021/acspolymersau.3c00031" TargetMode="External"/><Relationship Id="rId217" Type="http://schemas.openxmlformats.org/officeDocument/2006/relationships/hyperlink" Target="https://doi.org/10.1021/acsmacrolett.0c00175" TargetMode="External"/><Relationship Id="rId399" Type="http://schemas.openxmlformats.org/officeDocument/2006/relationships/hyperlink" Target="https://doi.org/10.1021/acs.macromol.7b02457" TargetMode="External"/><Relationship Id="rId259" Type="http://schemas.openxmlformats.org/officeDocument/2006/relationships/hyperlink" Target="https://doi.org/10.1021/acsmacrolett.1c00628" TargetMode="External"/><Relationship Id="rId23" Type="http://schemas.openxmlformats.org/officeDocument/2006/relationships/hyperlink" Target="https://doi.org/10.1021/acspolymersau.1c00028" TargetMode="External"/><Relationship Id="rId119" Type="http://schemas.openxmlformats.org/officeDocument/2006/relationships/hyperlink" Target="https://doi.org/10.1021/acspolymersau.2c00060" TargetMode="External"/><Relationship Id="rId270" Type="http://schemas.openxmlformats.org/officeDocument/2006/relationships/hyperlink" Target="https://doi.org/10.1021/acsmacrolett.2c00672" TargetMode="External"/><Relationship Id="rId326" Type="http://schemas.openxmlformats.org/officeDocument/2006/relationships/hyperlink" Target="https://doi.org/10.1021/acsmacrolett.4c00461" TargetMode="External"/><Relationship Id="rId65" Type="http://schemas.openxmlformats.org/officeDocument/2006/relationships/hyperlink" Target="https://doi.org/10.1021/acspolymersau.2c00005" TargetMode="External"/><Relationship Id="rId130" Type="http://schemas.openxmlformats.org/officeDocument/2006/relationships/hyperlink" Target="https://doi.org/10.1021/acspolymersau.2c00068" TargetMode="External"/><Relationship Id="rId368" Type="http://schemas.openxmlformats.org/officeDocument/2006/relationships/hyperlink" Target="https://doi.org/10.1021/acs.macromol.5b02470" TargetMode="External"/><Relationship Id="rId172" Type="http://schemas.openxmlformats.org/officeDocument/2006/relationships/hyperlink" Target="https://doi.org/10.1021/acspolymersau.3c00033" TargetMode="External"/><Relationship Id="rId228" Type="http://schemas.openxmlformats.org/officeDocument/2006/relationships/hyperlink" Target="https://doi.org/10.1021/acsmacrolett.1c00564" TargetMode="External"/><Relationship Id="rId281" Type="http://schemas.openxmlformats.org/officeDocument/2006/relationships/hyperlink" Target="https://doi.org/10.1021/acsmacrolett.3c00418" TargetMode="External"/><Relationship Id="rId337" Type="http://schemas.openxmlformats.org/officeDocument/2006/relationships/hyperlink" Target="https://doi.org/10.1021/acsmacrolett.5c00053" TargetMode="External"/><Relationship Id="rId34" Type="http://schemas.openxmlformats.org/officeDocument/2006/relationships/hyperlink" Target="https://doi.org/10.1021/acspolymersau.1c00032" TargetMode="External"/><Relationship Id="rId76" Type="http://schemas.openxmlformats.org/officeDocument/2006/relationships/hyperlink" Target="https://doi.org/10.1021/acspolymersau.2c00013" TargetMode="External"/><Relationship Id="rId141" Type="http://schemas.openxmlformats.org/officeDocument/2006/relationships/hyperlink" Target="https://doi.org/10.1021/acspolymersau.3c00011" TargetMode="External"/><Relationship Id="rId379" Type="http://schemas.openxmlformats.org/officeDocument/2006/relationships/hyperlink" Target="https://doi.org/10.1021/acs.macromol.6b00820" TargetMode="External"/><Relationship Id="rId7" Type="http://schemas.openxmlformats.org/officeDocument/2006/relationships/hyperlink" Target="https://doi.org/10.1021/acspolymersau.1c00011" TargetMode="External"/><Relationship Id="rId183" Type="http://schemas.openxmlformats.org/officeDocument/2006/relationships/hyperlink" Target="https://doi.org/10.1021/acspolymersau.4c00029" TargetMode="External"/><Relationship Id="rId239" Type="http://schemas.openxmlformats.org/officeDocument/2006/relationships/hyperlink" Target="https://doi.org/10.1021/acsmacrolett.0c00461" TargetMode="External"/><Relationship Id="rId390" Type="http://schemas.openxmlformats.org/officeDocument/2006/relationships/hyperlink" Target="https://doi.org/10.1021/acs.macromol.7b00319" TargetMode="External"/><Relationship Id="rId404" Type="http://schemas.openxmlformats.org/officeDocument/2006/relationships/hyperlink" Target="https://doi.org/10.1021/acs.macromol.8b00294" TargetMode="External"/><Relationship Id="rId250" Type="http://schemas.openxmlformats.org/officeDocument/2006/relationships/hyperlink" Target="https://doi.org/10.1021/acsmacrolett.1c00712" TargetMode="External"/><Relationship Id="rId292" Type="http://schemas.openxmlformats.org/officeDocument/2006/relationships/hyperlink" Target="https://doi.org/10.1021/acsmacrolett.3c00355" TargetMode="External"/><Relationship Id="rId306" Type="http://schemas.openxmlformats.org/officeDocument/2006/relationships/hyperlink" Target="https://doi.org/10.1021/acsmacrolett.4c00313" TargetMode="External"/><Relationship Id="rId45" Type="http://schemas.openxmlformats.org/officeDocument/2006/relationships/hyperlink" Target="https://doi.org/10.1021/acspolymersau.1c00044" TargetMode="External"/><Relationship Id="rId87" Type="http://schemas.openxmlformats.org/officeDocument/2006/relationships/hyperlink" Target="https://doi.org/10.1021/acspolymersau.2c00017" TargetMode="External"/><Relationship Id="rId110" Type="http://schemas.openxmlformats.org/officeDocument/2006/relationships/hyperlink" Target="https://doi.org/10.1021/acspolymersau.2c00045" TargetMode="External"/><Relationship Id="rId348" Type="http://schemas.openxmlformats.org/officeDocument/2006/relationships/hyperlink" Target="https://doi.org/10.1021/ma502460t" TargetMode="External"/><Relationship Id="rId152" Type="http://schemas.openxmlformats.org/officeDocument/2006/relationships/hyperlink" Target="https://doi.org/10.1021/acspolymersau.3c00017" TargetMode="External"/><Relationship Id="rId194" Type="http://schemas.openxmlformats.org/officeDocument/2006/relationships/hyperlink" Target="https://doi.org/10.1021/acspolymersau.4c00088" TargetMode="External"/><Relationship Id="rId208" Type="http://schemas.openxmlformats.org/officeDocument/2006/relationships/hyperlink" Target="https://doi.org/10.1021/acsmacrolett.7b00723" TargetMode="External"/><Relationship Id="rId415" Type="http://schemas.openxmlformats.org/officeDocument/2006/relationships/hyperlink" Target="https://doi.org/10.1021/acspolymersau.2c00032" TargetMode="External"/><Relationship Id="rId261" Type="http://schemas.openxmlformats.org/officeDocument/2006/relationships/hyperlink" Target="https://doi.org/10.1021/acsmacrolett.3c00044" TargetMode="External"/><Relationship Id="rId14" Type="http://schemas.openxmlformats.org/officeDocument/2006/relationships/hyperlink" Target="https://doi.org/10.1021/acspolymersau.1c00015" TargetMode="External"/><Relationship Id="rId56" Type="http://schemas.openxmlformats.org/officeDocument/2006/relationships/hyperlink" Target="https://doi.org/10.1021/acspolymersau.2c00004" TargetMode="External"/><Relationship Id="rId317" Type="http://schemas.openxmlformats.org/officeDocument/2006/relationships/hyperlink" Target="https://doi.org/10.1021/acsmacrolett.4c00675" TargetMode="External"/><Relationship Id="rId359" Type="http://schemas.openxmlformats.org/officeDocument/2006/relationships/hyperlink" Target="https://doi.org/10.1021/acs.macromol.5b02119" TargetMode="External"/><Relationship Id="rId98" Type="http://schemas.openxmlformats.org/officeDocument/2006/relationships/hyperlink" Target="https://doi.org/10.1021/acspolymersau.2c00030" TargetMode="External"/><Relationship Id="rId121" Type="http://schemas.openxmlformats.org/officeDocument/2006/relationships/hyperlink" Target="https://doi.org/10.1021/acspolymersau.2c00060" TargetMode="External"/><Relationship Id="rId163" Type="http://schemas.openxmlformats.org/officeDocument/2006/relationships/hyperlink" Target="https://doi.org/10.1021/acspolymersau.3c00043" TargetMode="External"/><Relationship Id="rId219" Type="http://schemas.openxmlformats.org/officeDocument/2006/relationships/hyperlink" Target="https://doi.org/10.1021/acsmacrolett.0c00044" TargetMode="External"/><Relationship Id="rId370" Type="http://schemas.openxmlformats.org/officeDocument/2006/relationships/hyperlink" Target="https://doi.org/10.1021/acs.macromol.5b02602" TargetMode="External"/><Relationship Id="rId230" Type="http://schemas.openxmlformats.org/officeDocument/2006/relationships/hyperlink" Target="https://doi.org/10.1021/acsmacrolett.1c00564" TargetMode="External"/><Relationship Id="rId25" Type="http://schemas.openxmlformats.org/officeDocument/2006/relationships/hyperlink" Target="https://doi.org/10.1021/acspolymersau.1c00028" TargetMode="External"/><Relationship Id="rId67" Type="http://schemas.openxmlformats.org/officeDocument/2006/relationships/hyperlink" Target="https://doi.org/10.1021/acspolymersau.2c00026" TargetMode="External"/><Relationship Id="rId272" Type="http://schemas.openxmlformats.org/officeDocument/2006/relationships/hyperlink" Target="https://doi.org/10.1021/acsmacrolett.2c00506" TargetMode="External"/><Relationship Id="rId328" Type="http://schemas.openxmlformats.org/officeDocument/2006/relationships/hyperlink" Target="https://doi.org/10.1021/acsmacrolett.4c00534" TargetMode="External"/><Relationship Id="rId132" Type="http://schemas.openxmlformats.org/officeDocument/2006/relationships/hyperlink" Target="https://doi.org/10.1021/acspolymersau.3c00006" TargetMode="External"/><Relationship Id="rId174" Type="http://schemas.openxmlformats.org/officeDocument/2006/relationships/hyperlink" Target="https://doi.org/10.1021/acspolymersau.4c00006" TargetMode="External"/><Relationship Id="rId381" Type="http://schemas.openxmlformats.org/officeDocument/2006/relationships/hyperlink" Target="https://doi.org/10.1021/acs.macromol.6b01729" TargetMode="External"/><Relationship Id="rId241" Type="http://schemas.openxmlformats.org/officeDocument/2006/relationships/hyperlink" Target="https://doi.org/10.1021/acsmacrolett.1c00776" TargetMode="External"/><Relationship Id="rId36" Type="http://schemas.openxmlformats.org/officeDocument/2006/relationships/hyperlink" Target="https://doi.org/10.1021/acspolymersau.1c00029" TargetMode="External"/><Relationship Id="rId283" Type="http://schemas.openxmlformats.org/officeDocument/2006/relationships/hyperlink" Target="https://doi.org/10.1021/acsmacrolett.3c00418" TargetMode="External"/><Relationship Id="rId339" Type="http://schemas.openxmlformats.org/officeDocument/2006/relationships/hyperlink" Target="https://doi.org/10.1021/acsmacrolett.5c00009" TargetMode="External"/><Relationship Id="rId78" Type="http://schemas.openxmlformats.org/officeDocument/2006/relationships/hyperlink" Target="https://doi.org/10.1021/acspolymersau.2c00013" TargetMode="External"/><Relationship Id="rId101" Type="http://schemas.openxmlformats.org/officeDocument/2006/relationships/hyperlink" Target="https://doi.org/10.1021/acspolymersau.2c00030" TargetMode="External"/><Relationship Id="rId143" Type="http://schemas.openxmlformats.org/officeDocument/2006/relationships/hyperlink" Target="https://doi.org/10.1021/acspolymersau.3c00011" TargetMode="External"/><Relationship Id="rId185" Type="http://schemas.openxmlformats.org/officeDocument/2006/relationships/hyperlink" Target="https://doi.org/10.1021/acspolymersau.4c00033" TargetMode="External"/><Relationship Id="rId350" Type="http://schemas.openxmlformats.org/officeDocument/2006/relationships/hyperlink" Target="https://doi.org/10.1021/ma502542g" TargetMode="External"/><Relationship Id="rId406" Type="http://schemas.openxmlformats.org/officeDocument/2006/relationships/hyperlink" Target="https://doi.org/10.1021/acs.macromol.8b00772" TargetMode="External"/><Relationship Id="rId9" Type="http://schemas.openxmlformats.org/officeDocument/2006/relationships/hyperlink" Target="https://doi.org/10.1021/acspolymersau.1c00017" TargetMode="External"/><Relationship Id="rId210" Type="http://schemas.openxmlformats.org/officeDocument/2006/relationships/hyperlink" Target="https://doi.org/10.1021/acsmacrolett.8b00807" TargetMode="External"/><Relationship Id="rId392" Type="http://schemas.openxmlformats.org/officeDocument/2006/relationships/hyperlink" Target="https://doi.org/10.1021/acs.macromol.7b01005" TargetMode="External"/><Relationship Id="rId252" Type="http://schemas.openxmlformats.org/officeDocument/2006/relationships/hyperlink" Target="https://doi.org/10.1021/acsmacrolett.1c00647" TargetMode="External"/><Relationship Id="rId294" Type="http://schemas.openxmlformats.org/officeDocument/2006/relationships/hyperlink" Target="https://doi.org/10.1021/acsmacrolett.3c00751" TargetMode="External"/><Relationship Id="rId308" Type="http://schemas.openxmlformats.org/officeDocument/2006/relationships/hyperlink" Target="https://doi.org/10.1021/acsmacrolett.4c00069" TargetMode="External"/><Relationship Id="rId47" Type="http://schemas.openxmlformats.org/officeDocument/2006/relationships/hyperlink" Target="https://doi.org/10.1021/acspolymersau.1c00042" TargetMode="External"/><Relationship Id="rId89" Type="http://schemas.openxmlformats.org/officeDocument/2006/relationships/hyperlink" Target="https://doi.org/10.1021/acspolymersau.2c00017" TargetMode="External"/><Relationship Id="rId112" Type="http://schemas.openxmlformats.org/officeDocument/2006/relationships/hyperlink" Target="https://doi.org/10.1021/acspolymersau.2c00038" TargetMode="External"/><Relationship Id="rId154" Type="http://schemas.openxmlformats.org/officeDocument/2006/relationships/hyperlink" Target="https://doi.org/10.1021/acspolymersau.3c00017" TargetMode="External"/><Relationship Id="rId361" Type="http://schemas.openxmlformats.org/officeDocument/2006/relationships/hyperlink" Target="https://doi.org/10.1021/acs.macromol.5b02119" TargetMode="External"/><Relationship Id="rId196" Type="http://schemas.openxmlformats.org/officeDocument/2006/relationships/hyperlink" Target="https://doi.org/10.1021/acspolymersau.4c00079" TargetMode="External"/><Relationship Id="rId417" Type="http://schemas.openxmlformats.org/officeDocument/2006/relationships/hyperlink" Target="https://doi.org/10.1021/acspolymersau.2c00032" TargetMode="External"/><Relationship Id="rId16" Type="http://schemas.openxmlformats.org/officeDocument/2006/relationships/hyperlink" Target="https://doi.org/10.1021/acspolymersau.1c00030" TargetMode="External"/><Relationship Id="rId221" Type="http://schemas.openxmlformats.org/officeDocument/2006/relationships/hyperlink" Target="https://doi.org/10.1021/acsmacrolett.9b00814" TargetMode="External"/><Relationship Id="rId263" Type="http://schemas.openxmlformats.org/officeDocument/2006/relationships/hyperlink" Target="https://doi.org/10.1021/acsmacrolett.2c00737" TargetMode="External"/><Relationship Id="rId319" Type="http://schemas.openxmlformats.org/officeDocument/2006/relationships/hyperlink" Target="https://doi.org/10.1021/acsmacrolett.4c00556" TargetMode="External"/><Relationship Id="rId58" Type="http://schemas.openxmlformats.org/officeDocument/2006/relationships/hyperlink" Target="https://doi.org/10.1021/acspolymersau.2c00001" TargetMode="External"/><Relationship Id="rId123" Type="http://schemas.openxmlformats.org/officeDocument/2006/relationships/hyperlink" Target="https://doi.org/10.1021/acspolymersau.2c00066" TargetMode="External"/><Relationship Id="rId330" Type="http://schemas.openxmlformats.org/officeDocument/2006/relationships/hyperlink" Target="https://doi.org/10.1021/acsmacrolett.5c00171" TargetMode="External"/><Relationship Id="rId165" Type="http://schemas.openxmlformats.org/officeDocument/2006/relationships/hyperlink" Target="https://doi.org/10.1021/acspolymersau.3c00043" TargetMode="External"/><Relationship Id="rId372" Type="http://schemas.openxmlformats.org/officeDocument/2006/relationships/hyperlink" Target="https://doi.org/10.1021/acs.macromol.5b02710" TargetMode="External"/><Relationship Id="rId232" Type="http://schemas.openxmlformats.org/officeDocument/2006/relationships/hyperlink" Target="https://doi.org/10.1021/acsmacrolett.1c00142" TargetMode="External"/><Relationship Id="rId274" Type="http://schemas.openxmlformats.org/officeDocument/2006/relationships/hyperlink" Target="https://doi.org/10.1021/acsmacrolett.2c00455" TargetMode="External"/><Relationship Id="rId27" Type="http://schemas.openxmlformats.org/officeDocument/2006/relationships/hyperlink" Target="https://doi.org/10.1021/acspolymersau.1c00028" TargetMode="External"/><Relationship Id="rId69" Type="http://schemas.openxmlformats.org/officeDocument/2006/relationships/hyperlink" Target="https://doi.org/10.1021/acspolymersau.2c00013" TargetMode="External"/><Relationship Id="rId134" Type="http://schemas.openxmlformats.org/officeDocument/2006/relationships/hyperlink" Target="https://doi.org/10.1021/acspolymersau.3c00004" TargetMode="External"/><Relationship Id="rId80" Type="http://schemas.openxmlformats.org/officeDocument/2006/relationships/hyperlink" Target="https://doi.org/10.1021/acspolymersau.2c00013" TargetMode="External"/><Relationship Id="rId176" Type="http://schemas.openxmlformats.org/officeDocument/2006/relationships/hyperlink" Target="https://doi.org/10.1021/acspolymersau.3c00048" TargetMode="External"/><Relationship Id="rId341" Type="http://schemas.openxmlformats.org/officeDocument/2006/relationships/hyperlink" Target="https://doi.org/10.1021/acsmacrolett.4c00839" TargetMode="External"/><Relationship Id="rId383" Type="http://schemas.openxmlformats.org/officeDocument/2006/relationships/hyperlink" Target="https://doi.org/10.1021/acs.macromol.6b01963" TargetMode="External"/><Relationship Id="rId201" Type="http://schemas.openxmlformats.org/officeDocument/2006/relationships/hyperlink" Target="https://doi.org/10.1021/acspolymersau.5c00016" TargetMode="External"/><Relationship Id="rId222" Type="http://schemas.openxmlformats.org/officeDocument/2006/relationships/hyperlink" Target="https://doi.org/10.1021/acsmacrolett.9b00792" TargetMode="External"/><Relationship Id="rId243" Type="http://schemas.openxmlformats.org/officeDocument/2006/relationships/hyperlink" Target="https://doi.org/10.1021/acsmacrolett.1c00776" TargetMode="External"/><Relationship Id="rId264" Type="http://schemas.openxmlformats.org/officeDocument/2006/relationships/hyperlink" Target="https://doi.org/10.1021/acsmacrolett.2c00737" TargetMode="External"/><Relationship Id="rId285" Type="http://schemas.openxmlformats.org/officeDocument/2006/relationships/hyperlink" Target="https://doi.org/10.1021/acsmacrolett.3c00276" TargetMode="External"/><Relationship Id="rId17" Type="http://schemas.openxmlformats.org/officeDocument/2006/relationships/hyperlink" Target="https://doi.org/10.1021/acspolymersau.1c00030" TargetMode="External"/><Relationship Id="rId38" Type="http://schemas.openxmlformats.org/officeDocument/2006/relationships/hyperlink" Target="https://doi.org/10.1021/acspolymersau.1c00041" TargetMode="External"/><Relationship Id="rId59" Type="http://schemas.openxmlformats.org/officeDocument/2006/relationships/hyperlink" Target="https://doi.org/10.1021/acspolymersau.2c00001" TargetMode="External"/><Relationship Id="rId103" Type="http://schemas.openxmlformats.org/officeDocument/2006/relationships/hyperlink" Target="https://doi.org/10.1021/acspolymersau.2c00030" TargetMode="External"/><Relationship Id="rId124" Type="http://schemas.openxmlformats.org/officeDocument/2006/relationships/hyperlink" Target="https://doi.org/10.1021/acspolymersau.2c00069" TargetMode="External"/><Relationship Id="rId310" Type="http://schemas.openxmlformats.org/officeDocument/2006/relationships/hyperlink" Target="https://doi.org/10.1021/acsmacrolett.4c00101" TargetMode="External"/><Relationship Id="rId70" Type="http://schemas.openxmlformats.org/officeDocument/2006/relationships/hyperlink" Target="https://doi.org/10.1021/acspolymersau.2c00013" TargetMode="External"/><Relationship Id="rId91" Type="http://schemas.openxmlformats.org/officeDocument/2006/relationships/hyperlink" Target="https://doi.org/10.1021/acspolymersau.2c00023" TargetMode="External"/><Relationship Id="rId145" Type="http://schemas.openxmlformats.org/officeDocument/2006/relationships/hyperlink" Target="https://doi.org/10.1021/acspolymersau.3c00011" TargetMode="External"/><Relationship Id="rId166" Type="http://schemas.openxmlformats.org/officeDocument/2006/relationships/hyperlink" Target="https://doi.org/10.1021/acspolymersau.3c00043" TargetMode="External"/><Relationship Id="rId187" Type="http://schemas.openxmlformats.org/officeDocument/2006/relationships/hyperlink" Target="https://doi.org/10.1021/acspolymersau.4c00013" TargetMode="External"/><Relationship Id="rId331" Type="http://schemas.openxmlformats.org/officeDocument/2006/relationships/hyperlink" Target="https://doi.org/10.1021/acsmacrolett.5c00205" TargetMode="External"/><Relationship Id="rId352" Type="http://schemas.openxmlformats.org/officeDocument/2006/relationships/hyperlink" Target="https://doi.org/10.1021/acs.macromol.5b00435" TargetMode="External"/><Relationship Id="rId373" Type="http://schemas.openxmlformats.org/officeDocument/2006/relationships/hyperlink" Target="https://doi.org/10.1021/acs.macromol.5b02710" TargetMode="External"/><Relationship Id="rId394" Type="http://schemas.openxmlformats.org/officeDocument/2006/relationships/hyperlink" Target="https://doi.org/10.1021/acs.macromol.7b01475" TargetMode="External"/><Relationship Id="rId408" Type="http://schemas.openxmlformats.org/officeDocument/2006/relationships/hyperlink" Target="https://doi.org/10.1021/acs.macromol.8b01224" TargetMode="External"/><Relationship Id="rId1" Type="http://schemas.openxmlformats.org/officeDocument/2006/relationships/hyperlink" Target="https://doi.org/10.1021/acspolymersau.1c00012" TargetMode="External"/><Relationship Id="rId212" Type="http://schemas.openxmlformats.org/officeDocument/2006/relationships/hyperlink" Target="https://doi.org/10.1021/acsmacrolett.8b00168" TargetMode="External"/><Relationship Id="rId233" Type="http://schemas.openxmlformats.org/officeDocument/2006/relationships/hyperlink" Target="https://doi.org/10.1021/acsmacrolett.0c00849" TargetMode="External"/><Relationship Id="rId254" Type="http://schemas.openxmlformats.org/officeDocument/2006/relationships/hyperlink" Target="https://doi.org/10.1021/acsmacrolett.1c00686" TargetMode="External"/><Relationship Id="rId28" Type="http://schemas.openxmlformats.org/officeDocument/2006/relationships/hyperlink" Target="https://doi.org/10.1021/acspolymersau.1c00028" TargetMode="External"/><Relationship Id="rId49" Type="http://schemas.openxmlformats.org/officeDocument/2006/relationships/hyperlink" Target="https://doi.org/10.1021/acspolymersau.1c00053" TargetMode="External"/><Relationship Id="rId114" Type="http://schemas.openxmlformats.org/officeDocument/2006/relationships/hyperlink" Target="https://doi.org/10.1021/acspolymersau.2c00044" TargetMode="External"/><Relationship Id="rId275" Type="http://schemas.openxmlformats.org/officeDocument/2006/relationships/hyperlink" Target="https://doi.org/10.1021/acsmacrolett.2c00359" TargetMode="External"/><Relationship Id="rId296" Type="http://schemas.openxmlformats.org/officeDocument/2006/relationships/hyperlink" Target="https://doi.org/10.1021/acsmacrolett.3c00714" TargetMode="External"/><Relationship Id="rId300" Type="http://schemas.openxmlformats.org/officeDocument/2006/relationships/hyperlink" Target="https://doi.org/10.1021/acsmacrolett.3c00481" TargetMode="External"/><Relationship Id="rId60" Type="http://schemas.openxmlformats.org/officeDocument/2006/relationships/hyperlink" Target="https://doi.org/10.1021/acspolymersau.2c00001" TargetMode="External"/><Relationship Id="rId81" Type="http://schemas.openxmlformats.org/officeDocument/2006/relationships/hyperlink" Target="https://doi.org/10.1021/acspolymersau.2c00014" TargetMode="External"/><Relationship Id="rId135" Type="http://schemas.openxmlformats.org/officeDocument/2006/relationships/hyperlink" Target="https://doi.org/10.1021/acspolymersau.3c00004" TargetMode="External"/><Relationship Id="rId156" Type="http://schemas.openxmlformats.org/officeDocument/2006/relationships/hyperlink" Target="https://doi.org/10.1021/acspolymersau.3c00017" TargetMode="External"/><Relationship Id="rId177" Type="http://schemas.openxmlformats.org/officeDocument/2006/relationships/hyperlink" Target="https://doi.org/10.1021/acspolymersau.3c00052" TargetMode="External"/><Relationship Id="rId198" Type="http://schemas.openxmlformats.org/officeDocument/2006/relationships/hyperlink" Target="https://doi.org/10.1021/acspolymersau.4c00096" TargetMode="External"/><Relationship Id="rId321" Type="http://schemas.openxmlformats.org/officeDocument/2006/relationships/hyperlink" Target="https://doi.org/10.1021/acsmacrolett.4c00556" TargetMode="External"/><Relationship Id="rId342" Type="http://schemas.openxmlformats.org/officeDocument/2006/relationships/hyperlink" Target="https://doi.org/10.1021/acsmacrolett.4c00839" TargetMode="External"/><Relationship Id="rId363" Type="http://schemas.openxmlformats.org/officeDocument/2006/relationships/hyperlink" Target="https://doi.org/10.1021/acs.macromol.5b02385" TargetMode="External"/><Relationship Id="rId384" Type="http://schemas.openxmlformats.org/officeDocument/2006/relationships/hyperlink" Target="https://doi.org/10.1021/acs.macromol.6b02309" TargetMode="External"/><Relationship Id="rId202" Type="http://schemas.openxmlformats.org/officeDocument/2006/relationships/hyperlink" Target="https://doi.org/10.1021/acspolymersau.5c00016" TargetMode="External"/><Relationship Id="rId223" Type="http://schemas.openxmlformats.org/officeDocument/2006/relationships/hyperlink" Target="https://doi.org/10.1021/acsmacrolett.9b00792" TargetMode="External"/><Relationship Id="rId244" Type="http://schemas.openxmlformats.org/officeDocument/2006/relationships/hyperlink" Target="https://doi.org/10.1021/acsmacrolett.1c00776" TargetMode="External"/><Relationship Id="rId18" Type="http://schemas.openxmlformats.org/officeDocument/2006/relationships/hyperlink" Target="https://doi.org/10.1021/acspolymersau.1c00030" TargetMode="External"/><Relationship Id="rId39" Type="http://schemas.openxmlformats.org/officeDocument/2006/relationships/hyperlink" Target="https://doi.org/10.1021/acspolymersau.1c00036" TargetMode="External"/><Relationship Id="rId265" Type="http://schemas.openxmlformats.org/officeDocument/2006/relationships/hyperlink" Target="https://doi.org/10.1021/acsmacrolett.3c00021" TargetMode="External"/><Relationship Id="rId286" Type="http://schemas.openxmlformats.org/officeDocument/2006/relationships/hyperlink" Target="https://doi.org/10.1021/acsmacrolett.3c00276" TargetMode="External"/><Relationship Id="rId50" Type="http://schemas.openxmlformats.org/officeDocument/2006/relationships/hyperlink" Target="https://doi.org/10.1021/acspolymersau.1c00053" TargetMode="External"/><Relationship Id="rId104" Type="http://schemas.openxmlformats.org/officeDocument/2006/relationships/hyperlink" Target="https://doi.org/10.1021/acspolymersau.2c00027" TargetMode="External"/><Relationship Id="rId125" Type="http://schemas.openxmlformats.org/officeDocument/2006/relationships/hyperlink" Target="https://doi.org/10.1021/acspolymersau.3c00003" TargetMode="External"/><Relationship Id="rId146" Type="http://schemas.openxmlformats.org/officeDocument/2006/relationships/hyperlink" Target="https://doi.org/10.1021/acspolymersau.3c00010" TargetMode="External"/><Relationship Id="rId167" Type="http://schemas.openxmlformats.org/officeDocument/2006/relationships/hyperlink" Target="https://doi.org/10.1021/acspolymersau.3c00029" TargetMode="External"/><Relationship Id="rId188" Type="http://schemas.openxmlformats.org/officeDocument/2006/relationships/hyperlink" Target="https://doi.org/10.1021/acspolymersau.4c00048" TargetMode="External"/><Relationship Id="rId311" Type="http://schemas.openxmlformats.org/officeDocument/2006/relationships/hyperlink" Target="https://doi.org/10.1021/acsmacrolett.4c00101" TargetMode="External"/><Relationship Id="rId332" Type="http://schemas.openxmlformats.org/officeDocument/2006/relationships/hyperlink" Target="https://doi.org/10.1021/acsmacrolett.5c00165" TargetMode="External"/><Relationship Id="rId353" Type="http://schemas.openxmlformats.org/officeDocument/2006/relationships/hyperlink" Target="https://doi.org/10.1021/acs.macromol.5b01293" TargetMode="External"/><Relationship Id="rId374" Type="http://schemas.openxmlformats.org/officeDocument/2006/relationships/hyperlink" Target="https://doi.org/10.1021/acs.macromol.5b02594" TargetMode="External"/><Relationship Id="rId395" Type="http://schemas.openxmlformats.org/officeDocument/2006/relationships/hyperlink" Target="https://doi.org/10.1021/acs.macromol.7b02136" TargetMode="External"/><Relationship Id="rId409" Type="http://schemas.openxmlformats.org/officeDocument/2006/relationships/hyperlink" Target="https://doi.org/10.1021/acs.macromol.8b01224" TargetMode="External"/><Relationship Id="rId71" Type="http://schemas.openxmlformats.org/officeDocument/2006/relationships/hyperlink" Target="https://doi.org/10.1021/acspolymersau.2c00013" TargetMode="External"/><Relationship Id="rId92" Type="http://schemas.openxmlformats.org/officeDocument/2006/relationships/hyperlink" Target="https://doi.org/10.1021/acspolymersau.2c00036" TargetMode="External"/><Relationship Id="rId213" Type="http://schemas.openxmlformats.org/officeDocument/2006/relationships/hyperlink" Target="https://doi.org/10.1021/acsmacrolett.7b00891" TargetMode="External"/><Relationship Id="rId234" Type="http://schemas.openxmlformats.org/officeDocument/2006/relationships/hyperlink" Target="https://doi.org/10.1021/acsmacrolett.0c00784" TargetMode="External"/><Relationship Id="rId2" Type="http://schemas.openxmlformats.org/officeDocument/2006/relationships/hyperlink" Target="https://doi.org/10.1021/acspolymersau.1c00005" TargetMode="External"/><Relationship Id="rId29" Type="http://schemas.openxmlformats.org/officeDocument/2006/relationships/hyperlink" Target="https://doi.org/10.1021/acspolymersau.1c00028" TargetMode="External"/><Relationship Id="rId255" Type="http://schemas.openxmlformats.org/officeDocument/2006/relationships/hyperlink" Target="https://doi.org/10.1021/acsmacrolett.1c00676" TargetMode="External"/><Relationship Id="rId276" Type="http://schemas.openxmlformats.org/officeDocument/2006/relationships/hyperlink" Target="https://doi.org/10.1021/acsmacrolett.2c00302" TargetMode="External"/><Relationship Id="rId297" Type="http://schemas.openxmlformats.org/officeDocument/2006/relationships/hyperlink" Target="https://doi.org/10.1021/acsmacrolett.3c00714" TargetMode="External"/><Relationship Id="rId40" Type="http://schemas.openxmlformats.org/officeDocument/2006/relationships/hyperlink" Target="https://doi.org/10.1021/acspolymersau.1c00036" TargetMode="External"/><Relationship Id="rId115" Type="http://schemas.openxmlformats.org/officeDocument/2006/relationships/hyperlink" Target="https://doi.org/10.1021/acspolymersau.2c00047" TargetMode="External"/><Relationship Id="rId136" Type="http://schemas.openxmlformats.org/officeDocument/2006/relationships/hyperlink" Target="https://doi.org/10.1021/acspolymersau.3c00012" TargetMode="External"/><Relationship Id="rId157" Type="http://schemas.openxmlformats.org/officeDocument/2006/relationships/hyperlink" Target="https://doi.org/10.1021/acspolymersau.3c00017" TargetMode="External"/><Relationship Id="rId178" Type="http://schemas.openxmlformats.org/officeDocument/2006/relationships/hyperlink" Target="https://doi.org/10.1021/acspolymersau.3c00052" TargetMode="External"/><Relationship Id="rId301" Type="http://schemas.openxmlformats.org/officeDocument/2006/relationships/hyperlink" Target="https://doi.org/10.1021/acsmacrolett.3c00481" TargetMode="External"/><Relationship Id="rId322" Type="http://schemas.openxmlformats.org/officeDocument/2006/relationships/hyperlink" Target="https://doi.org/10.1021/acsmacrolett.4c00550" TargetMode="External"/><Relationship Id="rId343" Type="http://schemas.openxmlformats.org/officeDocument/2006/relationships/hyperlink" Target="https://doi.org/10.1021/ma401311s" TargetMode="External"/><Relationship Id="rId364" Type="http://schemas.openxmlformats.org/officeDocument/2006/relationships/hyperlink" Target="https://doi.org/10.1021/acs.macromol.5b02152" TargetMode="External"/><Relationship Id="rId61" Type="http://schemas.openxmlformats.org/officeDocument/2006/relationships/hyperlink" Target="https://doi.org/10.1021/acspolymersau.2c00005" TargetMode="External"/><Relationship Id="rId82" Type="http://schemas.openxmlformats.org/officeDocument/2006/relationships/hyperlink" Target="https://doi.org/10.1021/acspolymersau.2c00019" TargetMode="External"/><Relationship Id="rId199" Type="http://schemas.openxmlformats.org/officeDocument/2006/relationships/hyperlink" Target="https://doi.org/10.1021/acspolymersau.5c00007" TargetMode="External"/><Relationship Id="rId203" Type="http://schemas.openxmlformats.org/officeDocument/2006/relationships/hyperlink" Target="https://doi.org/10.1021/acspolymersau.4c00099" TargetMode="External"/><Relationship Id="rId385" Type="http://schemas.openxmlformats.org/officeDocument/2006/relationships/hyperlink" Target="https://doi.org/10.1021/acs.macromol.6b02643" TargetMode="External"/><Relationship Id="rId19" Type="http://schemas.openxmlformats.org/officeDocument/2006/relationships/hyperlink" Target="https://doi.org/10.1021/acspolymersau.1c00028" TargetMode="External"/><Relationship Id="rId224" Type="http://schemas.openxmlformats.org/officeDocument/2006/relationships/hyperlink" Target="https://doi.org/10.1021/acsmacrolett.9b00386" TargetMode="External"/><Relationship Id="rId245" Type="http://schemas.openxmlformats.org/officeDocument/2006/relationships/hyperlink" Target="https://doi.org/10.1021/acsmacrolett.2c00004" TargetMode="External"/><Relationship Id="rId266" Type="http://schemas.openxmlformats.org/officeDocument/2006/relationships/hyperlink" Target="https://doi.org/10.1021/acsmacrolett.2c00699" TargetMode="External"/><Relationship Id="rId287" Type="http://schemas.openxmlformats.org/officeDocument/2006/relationships/hyperlink" Target="https://doi.org/10.1021/acsmacrolett.3c00382" TargetMode="External"/><Relationship Id="rId410" Type="http://schemas.openxmlformats.org/officeDocument/2006/relationships/hyperlink" Target="https://doi.org/10.1021/acs.macromol.8b01077" TargetMode="External"/><Relationship Id="rId30" Type="http://schemas.openxmlformats.org/officeDocument/2006/relationships/hyperlink" Target="https://doi.org/10.1021/acspolymersau.1c00034" TargetMode="External"/><Relationship Id="rId105" Type="http://schemas.openxmlformats.org/officeDocument/2006/relationships/hyperlink" Target="https://doi.org/10.1021/acspolymersau.2c00034" TargetMode="External"/><Relationship Id="rId126" Type="http://schemas.openxmlformats.org/officeDocument/2006/relationships/hyperlink" Target="https://doi.org/10.1021/acspolymersau.3c00003" TargetMode="External"/><Relationship Id="rId147" Type="http://schemas.openxmlformats.org/officeDocument/2006/relationships/hyperlink" Target="https://doi.org/10.1021/acspolymersau.3c00010" TargetMode="External"/><Relationship Id="rId168" Type="http://schemas.openxmlformats.org/officeDocument/2006/relationships/hyperlink" Target="https://doi.org/10.1021/acspolymersau.3c00035" TargetMode="External"/><Relationship Id="rId312" Type="http://schemas.openxmlformats.org/officeDocument/2006/relationships/hyperlink" Target="https://doi.org/10.1021/acsmacrolett.4c00758" TargetMode="External"/><Relationship Id="rId333" Type="http://schemas.openxmlformats.org/officeDocument/2006/relationships/hyperlink" Target="https://doi.org/10.1021/acsmacrolett.5c00043" TargetMode="External"/><Relationship Id="rId354" Type="http://schemas.openxmlformats.org/officeDocument/2006/relationships/hyperlink" Target="https://doi.org/10.1021/acs.macromol.5b01293" TargetMode="External"/><Relationship Id="rId51" Type="http://schemas.openxmlformats.org/officeDocument/2006/relationships/hyperlink" Target="https://doi.org/10.1021/acspolymersau.1c00053" TargetMode="External"/><Relationship Id="rId72" Type="http://schemas.openxmlformats.org/officeDocument/2006/relationships/hyperlink" Target="https://doi.org/10.1021/acspolymersau.2c00013" TargetMode="External"/><Relationship Id="rId93" Type="http://schemas.openxmlformats.org/officeDocument/2006/relationships/hyperlink" Target="https://doi.org/10.1021/acspolymersau.2c00036" TargetMode="External"/><Relationship Id="rId189" Type="http://schemas.openxmlformats.org/officeDocument/2006/relationships/hyperlink" Target="https://doi.org/10.1021/acspolymersau.4c00050" TargetMode="External"/><Relationship Id="rId375" Type="http://schemas.openxmlformats.org/officeDocument/2006/relationships/hyperlink" Target="https://doi.org/10.1021/acs.macromol.6b00422" TargetMode="External"/><Relationship Id="rId396" Type="http://schemas.openxmlformats.org/officeDocument/2006/relationships/hyperlink" Target="https://doi.org/10.1021/acs.macromol.7b02136" TargetMode="External"/><Relationship Id="rId3" Type="http://schemas.openxmlformats.org/officeDocument/2006/relationships/hyperlink" Target="https://doi.org/10.1021/acspolymersau.1c00005" TargetMode="External"/><Relationship Id="rId214" Type="http://schemas.openxmlformats.org/officeDocument/2006/relationships/hyperlink" Target="https://doi.org/10.1021/acsmacrolett.8b00168" TargetMode="External"/><Relationship Id="rId235" Type="http://schemas.openxmlformats.org/officeDocument/2006/relationships/hyperlink" Target="https://doi.org/10.1021/acsmacrolett.0c00645" TargetMode="External"/><Relationship Id="rId256" Type="http://schemas.openxmlformats.org/officeDocument/2006/relationships/hyperlink" Target="https://doi.org/10.1021/acsmacrolett.1c00676" TargetMode="External"/><Relationship Id="rId277" Type="http://schemas.openxmlformats.org/officeDocument/2006/relationships/hyperlink" Target="https://doi.org/10.1021/acsmacrolett.2c00302" TargetMode="External"/><Relationship Id="rId298" Type="http://schemas.openxmlformats.org/officeDocument/2006/relationships/hyperlink" Target="https://doi.org/10.1021/acsmacrolett.3c00657" TargetMode="External"/><Relationship Id="rId400" Type="http://schemas.openxmlformats.org/officeDocument/2006/relationships/hyperlink" Target="https://doi.org/10.1021/acs.macromol.7b02288" TargetMode="External"/><Relationship Id="rId116" Type="http://schemas.openxmlformats.org/officeDocument/2006/relationships/hyperlink" Target="https://doi.org/10.1021/acspolymersau.2c00047" TargetMode="External"/><Relationship Id="rId137" Type="http://schemas.openxmlformats.org/officeDocument/2006/relationships/hyperlink" Target="https://doi.org/10.1021/acspolymersau.3c00012" TargetMode="External"/><Relationship Id="rId158" Type="http://schemas.openxmlformats.org/officeDocument/2006/relationships/hyperlink" Target="https://doi.org/10.1021/acspolymersau.3c00020" TargetMode="External"/><Relationship Id="rId302" Type="http://schemas.openxmlformats.org/officeDocument/2006/relationships/hyperlink" Target="https://doi.org/10.1021/acsmacrolett.4c00400" TargetMode="External"/><Relationship Id="rId323" Type="http://schemas.openxmlformats.org/officeDocument/2006/relationships/hyperlink" Target="https://doi.org/10.1021/acsmacrolett.4c00550" TargetMode="External"/><Relationship Id="rId344" Type="http://schemas.openxmlformats.org/officeDocument/2006/relationships/hyperlink" Target="https://doi.org/10.1021/ma402069b" TargetMode="External"/><Relationship Id="rId20" Type="http://schemas.openxmlformats.org/officeDocument/2006/relationships/hyperlink" Target="https://doi.org/10.1021/acspolymersau.1c00028" TargetMode="External"/><Relationship Id="rId41" Type="http://schemas.openxmlformats.org/officeDocument/2006/relationships/hyperlink" Target="https://doi.org/10.1021/acspolymersau.1c00036" TargetMode="External"/><Relationship Id="rId62" Type="http://schemas.openxmlformats.org/officeDocument/2006/relationships/hyperlink" Target="https://doi.org/10.1021/acspolymersau.2c00005" TargetMode="External"/><Relationship Id="rId83" Type="http://schemas.openxmlformats.org/officeDocument/2006/relationships/hyperlink" Target="https://doi.org/10.1021/acspolymersau.2c00019" TargetMode="External"/><Relationship Id="rId179" Type="http://schemas.openxmlformats.org/officeDocument/2006/relationships/hyperlink" Target="https://doi.org/10.1021/acspolymersau.3c00052" TargetMode="External"/><Relationship Id="rId365" Type="http://schemas.openxmlformats.org/officeDocument/2006/relationships/hyperlink" Target="https://doi.org/10.1021/acs.macromol.5b01994" TargetMode="External"/><Relationship Id="rId386" Type="http://schemas.openxmlformats.org/officeDocument/2006/relationships/hyperlink" Target="https://doi.org/10.1021/acs.macromol.6b02643" TargetMode="External"/><Relationship Id="rId190" Type="http://schemas.openxmlformats.org/officeDocument/2006/relationships/hyperlink" Target="https://doi.org/10.1021/acspolymersau.4c00059" TargetMode="External"/><Relationship Id="rId204" Type="http://schemas.openxmlformats.org/officeDocument/2006/relationships/hyperlink" Target="https://doi.org/10.1021/acspolymersau.5c00009" TargetMode="External"/><Relationship Id="rId225" Type="http://schemas.openxmlformats.org/officeDocument/2006/relationships/hyperlink" Target="https://doi.org/10.1021/acsmacrolett.9b00459" TargetMode="External"/><Relationship Id="rId246" Type="http://schemas.openxmlformats.org/officeDocument/2006/relationships/hyperlink" Target="https://doi.org/10.1021/acsmacrolett.1c00716" TargetMode="External"/><Relationship Id="rId267" Type="http://schemas.openxmlformats.org/officeDocument/2006/relationships/hyperlink" Target="https://doi.org/10.1021/acsmacrolett.2c00699" TargetMode="External"/><Relationship Id="rId288" Type="http://schemas.openxmlformats.org/officeDocument/2006/relationships/hyperlink" Target="https://doi.org/10.1021/acsmacrolett.3c00382" TargetMode="External"/><Relationship Id="rId411" Type="http://schemas.openxmlformats.org/officeDocument/2006/relationships/hyperlink" Target="https://doi.org/10.1021/acs.macromol.8b01077" TargetMode="External"/><Relationship Id="rId106" Type="http://schemas.openxmlformats.org/officeDocument/2006/relationships/hyperlink" Target="https://doi.org/10.1021/acspolymersau.2c00045" TargetMode="External"/><Relationship Id="rId127" Type="http://schemas.openxmlformats.org/officeDocument/2006/relationships/hyperlink" Target="https://doi.org/10.1021/acspolymersau.3c00003" TargetMode="External"/><Relationship Id="rId313" Type="http://schemas.openxmlformats.org/officeDocument/2006/relationships/hyperlink" Target="https://doi.org/10.1021/acsmacrolett.4c00665" TargetMode="External"/><Relationship Id="rId10" Type="http://schemas.openxmlformats.org/officeDocument/2006/relationships/hyperlink" Target="https://doi.org/10.1021/acspolymersau.1c00017" TargetMode="External"/><Relationship Id="rId31" Type="http://schemas.openxmlformats.org/officeDocument/2006/relationships/hyperlink" Target="https://doi.org/10.1021/acspolymersau.1c00024" TargetMode="External"/><Relationship Id="rId52" Type="http://schemas.openxmlformats.org/officeDocument/2006/relationships/hyperlink" Target="https://doi.org/10.1021/acspolymersau.1c00053" TargetMode="External"/><Relationship Id="rId73" Type="http://schemas.openxmlformats.org/officeDocument/2006/relationships/hyperlink" Target="https://doi.org/10.1021/acspolymersau.2c00013" TargetMode="External"/><Relationship Id="rId94" Type="http://schemas.openxmlformats.org/officeDocument/2006/relationships/hyperlink" Target="https://doi.org/10.1021/acspolymersau.2c00036" TargetMode="External"/><Relationship Id="rId148" Type="http://schemas.openxmlformats.org/officeDocument/2006/relationships/hyperlink" Target="https://doi.org/10.1021/acspolymersau.3c00028" TargetMode="External"/><Relationship Id="rId169" Type="http://schemas.openxmlformats.org/officeDocument/2006/relationships/hyperlink" Target="https://doi.org/10.1021/acspolymersau.3c00037" TargetMode="External"/><Relationship Id="rId334" Type="http://schemas.openxmlformats.org/officeDocument/2006/relationships/hyperlink" Target="https://doi.org/10.1021/acsmacrolett.5c00165" TargetMode="External"/><Relationship Id="rId355" Type="http://schemas.openxmlformats.org/officeDocument/2006/relationships/hyperlink" Target="https://doi.org/10.1021/acs.macromol.5b01293" TargetMode="External"/><Relationship Id="rId376" Type="http://schemas.openxmlformats.org/officeDocument/2006/relationships/hyperlink" Target="https://doi.org/10.1021/acs.macromol.6b00422" TargetMode="External"/><Relationship Id="rId397" Type="http://schemas.openxmlformats.org/officeDocument/2006/relationships/hyperlink" Target="https://doi.org/10.1021/acs.macromol.7b01832" TargetMode="External"/><Relationship Id="rId4" Type="http://schemas.openxmlformats.org/officeDocument/2006/relationships/hyperlink" Target="https://doi.org/10.1021/acspolymersau.1c00008" TargetMode="External"/><Relationship Id="rId180" Type="http://schemas.openxmlformats.org/officeDocument/2006/relationships/hyperlink" Target="https://doi.org/10.1021/acspolymersau.3c00056" TargetMode="External"/><Relationship Id="rId215" Type="http://schemas.openxmlformats.org/officeDocument/2006/relationships/hyperlink" Target="https://doi.org/10.1021/acsmacrolett.7b00905" TargetMode="External"/><Relationship Id="rId236" Type="http://schemas.openxmlformats.org/officeDocument/2006/relationships/hyperlink" Target="https://doi.org/10.1021/acsmacrolett.0c00469" TargetMode="External"/><Relationship Id="rId257" Type="http://schemas.openxmlformats.org/officeDocument/2006/relationships/hyperlink" Target="https://doi.org/10.1021/acsmacrolett.1c00682" TargetMode="External"/><Relationship Id="rId278" Type="http://schemas.openxmlformats.org/officeDocument/2006/relationships/hyperlink" Target="https://doi.org/10.1021/acsmacrolett.2c00302" TargetMode="External"/><Relationship Id="rId401" Type="http://schemas.openxmlformats.org/officeDocument/2006/relationships/hyperlink" Target="https://doi.org/10.1021/acs.macromol.7b02457" TargetMode="External"/><Relationship Id="rId303" Type="http://schemas.openxmlformats.org/officeDocument/2006/relationships/hyperlink" Target="https://doi.org/10.1021/acsmacrolett.4c00321" TargetMode="External"/><Relationship Id="rId42" Type="http://schemas.openxmlformats.org/officeDocument/2006/relationships/hyperlink" Target="https://doi.org/10.1021/acspolymersau.1c00052" TargetMode="External"/><Relationship Id="rId84" Type="http://schemas.openxmlformats.org/officeDocument/2006/relationships/hyperlink" Target="https://doi.org/10.1021/acspolymersau.2c00017" TargetMode="External"/><Relationship Id="rId138" Type="http://schemas.openxmlformats.org/officeDocument/2006/relationships/hyperlink" Target="https://doi.org/10.1021/acspolymersau.3c00012" TargetMode="External"/><Relationship Id="rId345" Type="http://schemas.openxmlformats.org/officeDocument/2006/relationships/hyperlink" Target="https://doi.org/10.1021/ma500163u" TargetMode="External"/><Relationship Id="rId387" Type="http://schemas.openxmlformats.org/officeDocument/2006/relationships/hyperlink" Target="https://doi.org/10.1021/acs.macromol.6b02643" TargetMode="External"/><Relationship Id="rId191" Type="http://schemas.openxmlformats.org/officeDocument/2006/relationships/hyperlink" Target="https://doi.org/10.1021/acspolymersau.4c00074" TargetMode="External"/><Relationship Id="rId205" Type="http://schemas.openxmlformats.org/officeDocument/2006/relationships/hyperlink" Target="https://doi.org/10.1021/acspolymersau.5c00020" TargetMode="External"/><Relationship Id="rId247" Type="http://schemas.openxmlformats.org/officeDocument/2006/relationships/hyperlink" Target="https://doi.org/10.1021/acsmacrolett.2c00004" TargetMode="External"/><Relationship Id="rId412" Type="http://schemas.openxmlformats.org/officeDocument/2006/relationships/hyperlink" Target="https://doi.org/10.1021/acs.macromol.8b01251" TargetMode="External"/><Relationship Id="rId107" Type="http://schemas.openxmlformats.org/officeDocument/2006/relationships/hyperlink" Target="https://doi.org/10.1021/acspolymersau.2c00045" TargetMode="External"/><Relationship Id="rId289" Type="http://schemas.openxmlformats.org/officeDocument/2006/relationships/hyperlink" Target="https://doi.org/10.1021/acsmacrolett.3c00382" TargetMode="External"/><Relationship Id="rId11" Type="http://schemas.openxmlformats.org/officeDocument/2006/relationships/hyperlink" Target="https://doi.org/10.1021/acspolymersau.1c00021" TargetMode="External"/><Relationship Id="rId53" Type="http://schemas.openxmlformats.org/officeDocument/2006/relationships/hyperlink" Target="https://doi.org/10.1021/acspolymersau.1c00054" TargetMode="External"/><Relationship Id="rId149" Type="http://schemas.openxmlformats.org/officeDocument/2006/relationships/hyperlink" Target="https://doi.org/10.1021/acspolymersau.3c00028" TargetMode="External"/><Relationship Id="rId314" Type="http://schemas.openxmlformats.org/officeDocument/2006/relationships/hyperlink" Target="https://doi.org/10.1021/acsmacrolett.4c00651" TargetMode="External"/><Relationship Id="rId356" Type="http://schemas.openxmlformats.org/officeDocument/2006/relationships/hyperlink" Target="https://doi.org/10.1021/acs.macromol.5b01293" TargetMode="External"/><Relationship Id="rId398" Type="http://schemas.openxmlformats.org/officeDocument/2006/relationships/hyperlink" Target="https://doi.org/10.1021/acs.macromol.7b02030" TargetMode="External"/><Relationship Id="rId95" Type="http://schemas.openxmlformats.org/officeDocument/2006/relationships/hyperlink" Target="https://doi.org/10.1021/acspolymersau.2c00028" TargetMode="External"/><Relationship Id="rId160" Type="http://schemas.openxmlformats.org/officeDocument/2006/relationships/hyperlink" Target="https://doi.org/10.1021/acspolymersau.3c00031" TargetMode="External"/><Relationship Id="rId216" Type="http://schemas.openxmlformats.org/officeDocument/2006/relationships/hyperlink" Target="https://doi.org/10.1021/acsmacrolett.7b00905" TargetMode="External"/><Relationship Id="rId258" Type="http://schemas.openxmlformats.org/officeDocument/2006/relationships/hyperlink" Target="https://doi.org/10.1021/acsmacrolett.1c00628" TargetMode="External"/><Relationship Id="rId22" Type="http://schemas.openxmlformats.org/officeDocument/2006/relationships/hyperlink" Target="https://doi.org/10.1021/acspolymersau.1c00028" TargetMode="External"/><Relationship Id="rId64" Type="http://schemas.openxmlformats.org/officeDocument/2006/relationships/hyperlink" Target="https://doi.org/10.1021/acspolymersau.2c00005" TargetMode="External"/><Relationship Id="rId118" Type="http://schemas.openxmlformats.org/officeDocument/2006/relationships/hyperlink" Target="https://doi.org/10.1021/acspolymersau.2c00060" TargetMode="External"/><Relationship Id="rId325" Type="http://schemas.openxmlformats.org/officeDocument/2006/relationships/hyperlink" Target="https://doi.org/10.1021/acsmacrolett.4c00368" TargetMode="External"/><Relationship Id="rId367" Type="http://schemas.openxmlformats.org/officeDocument/2006/relationships/hyperlink" Target="https://doi.org/10.1021/acs.macromol.5b02267" TargetMode="External"/><Relationship Id="rId171" Type="http://schemas.openxmlformats.org/officeDocument/2006/relationships/hyperlink" Target="https://doi.org/10.1021/acspolymersau.3c00021" TargetMode="External"/><Relationship Id="rId227" Type="http://schemas.openxmlformats.org/officeDocument/2006/relationships/hyperlink" Target="https://doi.org/10.1021/acsmacrolett.1c00564" TargetMode="External"/><Relationship Id="rId269" Type="http://schemas.openxmlformats.org/officeDocument/2006/relationships/hyperlink" Target="https://doi.org/10.1021/acsmacrolett.2c00743" TargetMode="External"/><Relationship Id="rId33" Type="http://schemas.openxmlformats.org/officeDocument/2006/relationships/hyperlink" Target="https://doi.org/10.1021/acspolymersau.1c00032" TargetMode="External"/><Relationship Id="rId129" Type="http://schemas.openxmlformats.org/officeDocument/2006/relationships/hyperlink" Target="https://doi.org/10.1021/acspolymersau.2c00068" TargetMode="External"/><Relationship Id="rId280" Type="http://schemas.openxmlformats.org/officeDocument/2006/relationships/hyperlink" Target="https://doi.org/10.1021/acsmacrolett.3c00371" TargetMode="External"/><Relationship Id="rId336" Type="http://schemas.openxmlformats.org/officeDocument/2006/relationships/hyperlink" Target="https://doi.org/10.1021/acsmacrolett.5c00065" TargetMode="External"/><Relationship Id="rId75" Type="http://schemas.openxmlformats.org/officeDocument/2006/relationships/hyperlink" Target="https://doi.org/10.1021/acspolymersau.2c00013" TargetMode="External"/><Relationship Id="rId140" Type="http://schemas.openxmlformats.org/officeDocument/2006/relationships/hyperlink" Target="https://doi.org/10.1021/acspolymersau.3c00012" TargetMode="External"/><Relationship Id="rId182" Type="http://schemas.openxmlformats.org/officeDocument/2006/relationships/hyperlink" Target="https://doi.org/10.1021/acspolymersau.4c00029" TargetMode="External"/><Relationship Id="rId378" Type="http://schemas.openxmlformats.org/officeDocument/2006/relationships/hyperlink" Target="https://doi.org/10.1021/acs.macromol.6b00987" TargetMode="External"/><Relationship Id="rId403" Type="http://schemas.openxmlformats.org/officeDocument/2006/relationships/hyperlink" Target="https://doi.org/10.1021/acs.macromol.8b00294" TargetMode="External"/><Relationship Id="rId6" Type="http://schemas.openxmlformats.org/officeDocument/2006/relationships/hyperlink" Target="https://doi.org/10.1021/acspolymersau.1c00010" TargetMode="External"/><Relationship Id="rId238" Type="http://schemas.openxmlformats.org/officeDocument/2006/relationships/hyperlink" Target="https://doi.org/10.1021/acsmacrolett.0c00461" TargetMode="External"/><Relationship Id="rId291" Type="http://schemas.openxmlformats.org/officeDocument/2006/relationships/hyperlink" Target="https://doi.org/10.1021/acsmacrolett.3c00208" TargetMode="External"/><Relationship Id="rId305" Type="http://schemas.openxmlformats.org/officeDocument/2006/relationships/hyperlink" Target="https://doi.org/10.1021/acsmacrolett.4c00313" TargetMode="External"/><Relationship Id="rId347" Type="http://schemas.openxmlformats.org/officeDocument/2006/relationships/hyperlink" Target="https://doi.org/10.1021/ma5014308" TargetMode="External"/><Relationship Id="rId44" Type="http://schemas.openxmlformats.org/officeDocument/2006/relationships/hyperlink" Target="https://doi.org/10.1021/acspolymersau.1c00044" TargetMode="External"/><Relationship Id="rId86" Type="http://schemas.openxmlformats.org/officeDocument/2006/relationships/hyperlink" Target="https://doi.org/10.1021/acspolymersau.2c00017" TargetMode="External"/><Relationship Id="rId151" Type="http://schemas.openxmlformats.org/officeDocument/2006/relationships/hyperlink" Target="https://doi.org/10.1021/acspolymersau.3c00017" TargetMode="External"/><Relationship Id="rId389" Type="http://schemas.openxmlformats.org/officeDocument/2006/relationships/hyperlink" Target="https://doi.org/10.1021/acs.macromol.6b02727" TargetMode="External"/><Relationship Id="rId193" Type="http://schemas.openxmlformats.org/officeDocument/2006/relationships/hyperlink" Target="https://doi.org/10.1021/acspolymersau.4c00088" TargetMode="External"/><Relationship Id="rId207" Type="http://schemas.openxmlformats.org/officeDocument/2006/relationships/hyperlink" Target="https://doi.org/10.1021/acspolymersau.1c00049" TargetMode="External"/><Relationship Id="rId249" Type="http://schemas.openxmlformats.org/officeDocument/2006/relationships/hyperlink" Target="https://doi.org/10.1021/acsmacrolett.1c00758" TargetMode="External"/><Relationship Id="rId414" Type="http://schemas.openxmlformats.org/officeDocument/2006/relationships/hyperlink" Target="https://doi.org/10.1021/acs.macromol.8b01150" TargetMode="External"/><Relationship Id="rId13" Type="http://schemas.openxmlformats.org/officeDocument/2006/relationships/hyperlink" Target="https://doi.org/10.1021/acspolymersau.1c00027" TargetMode="External"/><Relationship Id="rId109" Type="http://schemas.openxmlformats.org/officeDocument/2006/relationships/hyperlink" Target="https://doi.org/10.1021/acspolymersau.2c00045" TargetMode="External"/><Relationship Id="rId260" Type="http://schemas.openxmlformats.org/officeDocument/2006/relationships/hyperlink" Target="https://doi.org/10.1021/acsmacrolett.1c00558" TargetMode="External"/><Relationship Id="rId316" Type="http://schemas.openxmlformats.org/officeDocument/2006/relationships/hyperlink" Target="https://doi.org/10.1021/acsmacrolett.4c00675" TargetMode="External"/><Relationship Id="rId55" Type="http://schemas.openxmlformats.org/officeDocument/2006/relationships/hyperlink" Target="https://doi.org/10.1021/acspolymersau.1c00057" TargetMode="External"/><Relationship Id="rId97" Type="http://schemas.openxmlformats.org/officeDocument/2006/relationships/hyperlink" Target="https://doi.org/10.1021/acspolymersau.2c00028" TargetMode="External"/><Relationship Id="rId120" Type="http://schemas.openxmlformats.org/officeDocument/2006/relationships/hyperlink" Target="https://doi.org/10.1021/acspolymersau.2c00060" TargetMode="External"/><Relationship Id="rId358" Type="http://schemas.openxmlformats.org/officeDocument/2006/relationships/hyperlink" Target="https://doi.org/10.1021/acs.macromol.5b01426" TargetMode="External"/><Relationship Id="rId162" Type="http://schemas.openxmlformats.org/officeDocument/2006/relationships/hyperlink" Target="https://doi.org/10.1021/acspolymersau.3c00026" TargetMode="External"/><Relationship Id="rId218" Type="http://schemas.openxmlformats.org/officeDocument/2006/relationships/hyperlink" Target="https://doi.org/10.1021/acsmacrolett.0c00241" TargetMode="External"/><Relationship Id="rId271" Type="http://schemas.openxmlformats.org/officeDocument/2006/relationships/hyperlink" Target="https://doi.org/10.1021/acsmacrolett.2c00672" TargetMode="External"/><Relationship Id="rId24" Type="http://schemas.openxmlformats.org/officeDocument/2006/relationships/hyperlink" Target="https://doi.org/10.1021/acspolymersau.1c00028" TargetMode="External"/><Relationship Id="rId66" Type="http://schemas.openxmlformats.org/officeDocument/2006/relationships/hyperlink" Target="https://doi.org/10.1021/acspolymersau.2c00026" TargetMode="External"/><Relationship Id="rId131" Type="http://schemas.openxmlformats.org/officeDocument/2006/relationships/hyperlink" Target="https://doi.org/10.1021/acspolymersau.2c00068" TargetMode="External"/><Relationship Id="rId327" Type="http://schemas.openxmlformats.org/officeDocument/2006/relationships/hyperlink" Target="https://doi.org/10.1021/acsmacrolett.4c00463" TargetMode="External"/><Relationship Id="rId369" Type="http://schemas.openxmlformats.org/officeDocument/2006/relationships/hyperlink" Target="https://doi.org/10.1021/acs.macromol.5b02602" TargetMode="External"/><Relationship Id="rId173" Type="http://schemas.openxmlformats.org/officeDocument/2006/relationships/hyperlink" Target="https://doi.org/10.1021/acspolymersau.3c00046" TargetMode="External"/><Relationship Id="rId229" Type="http://schemas.openxmlformats.org/officeDocument/2006/relationships/hyperlink" Target="https://doi.org/10.1021/acsmacrolett.1c00564" TargetMode="External"/><Relationship Id="rId380" Type="http://schemas.openxmlformats.org/officeDocument/2006/relationships/hyperlink" Target="https://doi.org/10.1021/acs.macromol.6b01563" TargetMode="External"/><Relationship Id="rId240" Type="http://schemas.openxmlformats.org/officeDocument/2006/relationships/hyperlink" Target="https://doi.org/10.1021/acsmacrolett.2c00136" TargetMode="External"/><Relationship Id="rId35" Type="http://schemas.openxmlformats.org/officeDocument/2006/relationships/hyperlink" Target="https://doi.org/10.1021/acspolymersau.1c00032" TargetMode="External"/><Relationship Id="rId77" Type="http://schemas.openxmlformats.org/officeDocument/2006/relationships/hyperlink" Target="https://doi.org/10.1021/acspolymersau.2c00013" TargetMode="External"/><Relationship Id="rId100" Type="http://schemas.openxmlformats.org/officeDocument/2006/relationships/hyperlink" Target="https://doi.org/10.1021/acspolymersau.2c00030" TargetMode="External"/><Relationship Id="rId282" Type="http://schemas.openxmlformats.org/officeDocument/2006/relationships/hyperlink" Target="https://doi.org/10.1021/acsmacrolett.3c00418" TargetMode="External"/><Relationship Id="rId338" Type="http://schemas.openxmlformats.org/officeDocument/2006/relationships/hyperlink" Target="https://doi.org/10.1021/acsmacrolett.4c00810" TargetMode="External"/><Relationship Id="rId8" Type="http://schemas.openxmlformats.org/officeDocument/2006/relationships/hyperlink" Target="https://doi.org/10.1021/acspolymersau.1c00011" TargetMode="External"/><Relationship Id="rId142" Type="http://schemas.openxmlformats.org/officeDocument/2006/relationships/hyperlink" Target="https://doi.org/10.1021/acspolymersau.3c00011" TargetMode="External"/><Relationship Id="rId184" Type="http://schemas.openxmlformats.org/officeDocument/2006/relationships/hyperlink" Target="https://doi.org/10.1021/acspolymersau.4c00029" TargetMode="External"/><Relationship Id="rId391" Type="http://schemas.openxmlformats.org/officeDocument/2006/relationships/hyperlink" Target="https://doi.org/10.1021/acs.macromol.7b00475" TargetMode="External"/><Relationship Id="rId405" Type="http://schemas.openxmlformats.org/officeDocument/2006/relationships/hyperlink" Target="https://doi.org/10.1021/acs.macromol.8b00715" TargetMode="External"/><Relationship Id="rId251" Type="http://schemas.openxmlformats.org/officeDocument/2006/relationships/hyperlink" Target="https://doi.org/10.1021/acsmacrolett.1c00647" TargetMode="External"/><Relationship Id="rId46" Type="http://schemas.openxmlformats.org/officeDocument/2006/relationships/hyperlink" Target="https://doi.org/10.1021/acspolymersau.1c00044" TargetMode="External"/><Relationship Id="rId293" Type="http://schemas.openxmlformats.org/officeDocument/2006/relationships/hyperlink" Target="https://doi.org/10.1021/acsmacrolett.3c00217" TargetMode="External"/><Relationship Id="rId307" Type="http://schemas.openxmlformats.org/officeDocument/2006/relationships/hyperlink" Target="https://doi.org/10.1021/acsmacrolett.4c00117" TargetMode="External"/><Relationship Id="rId349" Type="http://schemas.openxmlformats.org/officeDocument/2006/relationships/hyperlink" Target="https://doi.org/10.1021/ma502460t" TargetMode="External"/><Relationship Id="rId88" Type="http://schemas.openxmlformats.org/officeDocument/2006/relationships/hyperlink" Target="https://doi.org/10.1021/acspolymersau.2c00017" TargetMode="External"/><Relationship Id="rId111" Type="http://schemas.openxmlformats.org/officeDocument/2006/relationships/hyperlink" Target="https://doi.org/10.1021/acspolymersau.2c00035" TargetMode="External"/><Relationship Id="rId153" Type="http://schemas.openxmlformats.org/officeDocument/2006/relationships/hyperlink" Target="https://doi.org/10.1021/acspolymersau.3c00017" TargetMode="External"/><Relationship Id="rId195" Type="http://schemas.openxmlformats.org/officeDocument/2006/relationships/hyperlink" Target="https://doi.org/10.1021/acspolymersau.4c00095" TargetMode="External"/><Relationship Id="rId209" Type="http://schemas.openxmlformats.org/officeDocument/2006/relationships/hyperlink" Target="https://doi.org/10.1021/acsmacrolett.8b00825" TargetMode="External"/><Relationship Id="rId360" Type="http://schemas.openxmlformats.org/officeDocument/2006/relationships/hyperlink" Target="https://doi.org/10.1021/acs.macromol.5b02212" TargetMode="External"/><Relationship Id="rId416" Type="http://schemas.openxmlformats.org/officeDocument/2006/relationships/hyperlink" Target="https://doi.org/10.1021/acspolymersau.2c00032" TargetMode="External"/><Relationship Id="rId220" Type="http://schemas.openxmlformats.org/officeDocument/2006/relationships/hyperlink" Target="https://doi.org/10.1021/acsmacrolett.9b01023" TargetMode="External"/><Relationship Id="rId15" Type="http://schemas.openxmlformats.org/officeDocument/2006/relationships/hyperlink" Target="https://doi.org/10.1021/acspolymersau.1c00030" TargetMode="External"/><Relationship Id="rId57" Type="http://schemas.openxmlformats.org/officeDocument/2006/relationships/hyperlink" Target="https://doi.org/10.1021/acspolymersau.2c00001" TargetMode="External"/><Relationship Id="rId262" Type="http://schemas.openxmlformats.org/officeDocument/2006/relationships/hyperlink" Target="https://doi.org/10.1021/acsmacrolett.3c00055" TargetMode="External"/><Relationship Id="rId318" Type="http://schemas.openxmlformats.org/officeDocument/2006/relationships/hyperlink" Target="https://doi.org/10.1021/acsmacrolett.4c00675" TargetMode="External"/><Relationship Id="rId99" Type="http://schemas.openxmlformats.org/officeDocument/2006/relationships/hyperlink" Target="https://doi.org/10.1021/acspolymersau.2c00030" TargetMode="External"/><Relationship Id="rId122" Type="http://schemas.openxmlformats.org/officeDocument/2006/relationships/hyperlink" Target="https://doi.org/10.1021/acspolymersau.2c00066" TargetMode="External"/><Relationship Id="rId164" Type="http://schemas.openxmlformats.org/officeDocument/2006/relationships/hyperlink" Target="https://doi.org/10.1021/acspolymersau.3c00043" TargetMode="External"/><Relationship Id="rId371" Type="http://schemas.openxmlformats.org/officeDocument/2006/relationships/hyperlink" Target="https://doi.org/10.1021/acs.macromol.5b02710" TargetMode="External"/><Relationship Id="rId26" Type="http://schemas.openxmlformats.org/officeDocument/2006/relationships/hyperlink" Target="https://doi.org/10.1021/acspolymersau.1c00028" TargetMode="External"/><Relationship Id="rId231" Type="http://schemas.openxmlformats.org/officeDocument/2006/relationships/hyperlink" Target="https://doi.org/10.1021/acsmacrolett.1c00457" TargetMode="External"/><Relationship Id="rId273" Type="http://schemas.openxmlformats.org/officeDocument/2006/relationships/hyperlink" Target="https://doi.org/10.1021/acsmacrolett.2c00506" TargetMode="External"/><Relationship Id="rId329" Type="http://schemas.openxmlformats.org/officeDocument/2006/relationships/hyperlink" Target="https://doi.org/10.1021/acsmacrolett.4c00404" TargetMode="External"/><Relationship Id="rId68" Type="http://schemas.openxmlformats.org/officeDocument/2006/relationships/hyperlink" Target="https://doi.org/10.1021/acspolymersau.2c00013" TargetMode="External"/><Relationship Id="rId133" Type="http://schemas.openxmlformats.org/officeDocument/2006/relationships/hyperlink" Target="https://doi.org/10.1021/acspolymersau.3c00004" TargetMode="External"/><Relationship Id="rId175" Type="http://schemas.openxmlformats.org/officeDocument/2006/relationships/hyperlink" Target="https://doi.org/10.1021/acspolymersau.3c00047" TargetMode="External"/><Relationship Id="rId340" Type="http://schemas.openxmlformats.org/officeDocument/2006/relationships/hyperlink" Target="https://doi.org/10.1021/acsmacrolett.4c00839" TargetMode="External"/><Relationship Id="rId200" Type="http://schemas.openxmlformats.org/officeDocument/2006/relationships/hyperlink" Target="https://doi.org/10.1021/acspolymersau.4c00101" TargetMode="External"/><Relationship Id="rId382" Type="http://schemas.openxmlformats.org/officeDocument/2006/relationships/hyperlink" Target="https://doi.org/10.1021/acs.macromol.6b01963" TargetMode="External"/><Relationship Id="rId242" Type="http://schemas.openxmlformats.org/officeDocument/2006/relationships/hyperlink" Target="https://doi.org/10.1021/acsmacrolett.1c00776" TargetMode="External"/><Relationship Id="rId284" Type="http://schemas.openxmlformats.org/officeDocument/2006/relationships/hyperlink" Target="https://doi.org/10.1021/acsmacrolett.3c00389" TargetMode="External"/><Relationship Id="rId37" Type="http://schemas.openxmlformats.org/officeDocument/2006/relationships/hyperlink" Target="https://doi.org/10.1021/acspolymersau.1c00029" TargetMode="External"/><Relationship Id="rId79" Type="http://schemas.openxmlformats.org/officeDocument/2006/relationships/hyperlink" Target="https://doi.org/10.1021/acspolymersau.2c00013" TargetMode="External"/><Relationship Id="rId102" Type="http://schemas.openxmlformats.org/officeDocument/2006/relationships/hyperlink" Target="https://doi.org/10.1021/acspolymersau.2c00030" TargetMode="External"/><Relationship Id="rId144" Type="http://schemas.openxmlformats.org/officeDocument/2006/relationships/hyperlink" Target="https://doi.org/10.1021/acspolymersau.3c00011" TargetMode="External"/><Relationship Id="rId90" Type="http://schemas.openxmlformats.org/officeDocument/2006/relationships/hyperlink" Target="https://doi.org/10.1021/acspolymersau.2c00017" TargetMode="External"/><Relationship Id="rId186" Type="http://schemas.openxmlformats.org/officeDocument/2006/relationships/hyperlink" Target="https://doi.org/10.1021/acspolymersau.4c00013" TargetMode="External"/><Relationship Id="rId351" Type="http://schemas.openxmlformats.org/officeDocument/2006/relationships/hyperlink" Target="https://doi.org/10.1021/ma502542g" TargetMode="External"/><Relationship Id="rId393" Type="http://schemas.openxmlformats.org/officeDocument/2006/relationships/hyperlink" Target="https://doi.org/10.1021/acs.macromol.7b01769" TargetMode="External"/><Relationship Id="rId407" Type="http://schemas.openxmlformats.org/officeDocument/2006/relationships/hyperlink" Target="https://doi.org/10.1021/acs.macromol.7b02610" TargetMode="External"/><Relationship Id="rId211" Type="http://schemas.openxmlformats.org/officeDocument/2006/relationships/hyperlink" Target="https://doi.org/10.1021/acsmacrolett.8b00675" TargetMode="External"/><Relationship Id="rId253" Type="http://schemas.openxmlformats.org/officeDocument/2006/relationships/hyperlink" Target="https://doi.org/10.1021/acsmacrolett.1c00686" TargetMode="External"/><Relationship Id="rId295" Type="http://schemas.openxmlformats.org/officeDocument/2006/relationships/hyperlink" Target="https://doi.org/10.1021/acsmacrolett.3c00714" TargetMode="External"/><Relationship Id="rId309" Type="http://schemas.openxmlformats.org/officeDocument/2006/relationships/hyperlink" Target="https://doi.org/10.1021/acsmacrolett.4c00101" TargetMode="External"/><Relationship Id="rId48" Type="http://schemas.openxmlformats.org/officeDocument/2006/relationships/hyperlink" Target="https://doi.org/10.1021/acspolymersau.1c00053" TargetMode="External"/><Relationship Id="rId113" Type="http://schemas.openxmlformats.org/officeDocument/2006/relationships/hyperlink" Target="https://doi.org/10.1021/acspolymersau.2c00044" TargetMode="External"/><Relationship Id="rId320" Type="http://schemas.openxmlformats.org/officeDocument/2006/relationships/hyperlink" Target="https://doi.org/10.1021/acsmacrolett.4c00556" TargetMode="External"/><Relationship Id="rId155" Type="http://schemas.openxmlformats.org/officeDocument/2006/relationships/hyperlink" Target="https://doi.org/10.1021/acspolymersau.3c00017" TargetMode="External"/><Relationship Id="rId197" Type="http://schemas.openxmlformats.org/officeDocument/2006/relationships/hyperlink" Target="https://doi.org/10.1021/acspolymersau.4c00089" TargetMode="External"/><Relationship Id="rId362" Type="http://schemas.openxmlformats.org/officeDocument/2006/relationships/hyperlink" Target="https://doi.org/10.1021/acs.macromol.5b023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C8845-7370-FE48-892C-2A2715862817}">
  <dimension ref="A1:W424"/>
  <sheetViews>
    <sheetView tabSelected="1" topLeftCell="A388" workbookViewId="0">
      <selection activeCell="Y400" sqref="Y400"/>
    </sheetView>
  </sheetViews>
  <sheetFormatPr baseColWidth="10" defaultRowHeight="16" x14ac:dyDescent="0.2"/>
  <cols>
    <col min="11" max="21" width="10.83203125" style="6"/>
  </cols>
  <sheetData>
    <row r="1" spans="1:23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3" t="s">
        <v>14</v>
      </c>
      <c r="P1" s="14" t="s">
        <v>15</v>
      </c>
      <c r="Q1" s="21" t="s">
        <v>16</v>
      </c>
      <c r="R1" s="22" t="s">
        <v>17</v>
      </c>
      <c r="S1" s="23" t="s">
        <v>18</v>
      </c>
      <c r="T1" s="15" t="s">
        <v>336</v>
      </c>
      <c r="U1" s="16" t="s">
        <v>19</v>
      </c>
      <c r="W1" t="s">
        <v>337</v>
      </c>
    </row>
    <row r="2" spans="1:23" x14ac:dyDescent="0.2">
      <c r="A2" s="7" t="str">
        <f t="shared" ref="A2:A65" si="0">_xlfn.CONCAT(H2, "/",RIGHT(C2,7),"_",IF(D2="SI","si_",""), I2)</f>
        <v>acsmacrolett/0c00044_f1</v>
      </c>
      <c r="B2" s="7" t="s">
        <v>20</v>
      </c>
      <c r="C2" s="17" t="s">
        <v>21</v>
      </c>
      <c r="D2" s="7" t="s">
        <v>22</v>
      </c>
      <c r="E2" s="7" t="s">
        <v>23</v>
      </c>
      <c r="F2" s="7" t="s">
        <v>24</v>
      </c>
      <c r="G2" s="7">
        <v>3</v>
      </c>
      <c r="H2" s="7" t="str" cm="1">
        <f t="array" ref="H2">INDEX(_xlfn.TEXTSPLIT(INDEX(_xlfn.TEXTSPLIT(C2, "/"), 5), "."), 1)</f>
        <v>acsmacrolett</v>
      </c>
      <c r="I2" s="7" t="str" cm="1">
        <f t="array" ref="I2">IF(E2="Abstract","a",LOWER(_xlfn.CONCAT(LEFT(INDEX(_xlfn.TEXTSPLIT(E2," "),1),1),INDEX(_xlfn.TEXTSPLIT(E2," "),2))))</f>
        <v>f1</v>
      </c>
      <c r="J2" s="7">
        <v>3</v>
      </c>
      <c r="K2" s="9"/>
      <c r="L2" s="10"/>
      <c r="M2" s="11"/>
      <c r="N2" s="12"/>
      <c r="O2" s="13"/>
      <c r="P2" s="14"/>
      <c r="Q2" s="21"/>
      <c r="R2" s="22"/>
      <c r="S2" s="23"/>
      <c r="T2" s="15"/>
      <c r="U2" s="16"/>
      <c r="W2" t="str">
        <f>IF(G2-J2-SUM(K2:U2),G2-J2-SUM(K2:U2),"")</f>
        <v/>
      </c>
    </row>
    <row r="3" spans="1:23" x14ac:dyDescent="0.2">
      <c r="A3" s="7" t="str">
        <f t="shared" si="0"/>
        <v>acsmacrolett/0c00175_f1</v>
      </c>
      <c r="B3" s="7" t="s">
        <v>20</v>
      </c>
      <c r="C3" s="17" t="s">
        <v>25</v>
      </c>
      <c r="D3" s="7" t="s">
        <v>22</v>
      </c>
      <c r="E3" s="7" t="s">
        <v>23</v>
      </c>
      <c r="F3" s="7" t="s">
        <v>26</v>
      </c>
      <c r="G3" s="7">
        <v>2</v>
      </c>
      <c r="H3" s="7" t="str" cm="1">
        <f t="array" ref="H3">INDEX(_xlfn.TEXTSPLIT(INDEX(_xlfn.TEXTSPLIT(C3, "/"), 5), "."), 1)</f>
        <v>acsmacrolett</v>
      </c>
      <c r="I3" s="7" t="str" cm="1">
        <f t="array" ref="I3">IF(E3="Abstract","a",LOWER(_xlfn.CONCAT(LEFT(INDEX(_xlfn.TEXTSPLIT(E3," "),1),1),INDEX(_xlfn.TEXTSPLIT(E3," "),2))))</f>
        <v>f1</v>
      </c>
      <c r="J3" s="7">
        <v>2</v>
      </c>
      <c r="K3" s="9"/>
      <c r="L3" s="10"/>
      <c r="M3" s="11"/>
      <c r="N3" s="12"/>
      <c r="O3" s="13"/>
      <c r="P3" s="14"/>
      <c r="Q3" s="21"/>
      <c r="R3" s="22"/>
      <c r="S3" s="23"/>
      <c r="T3" s="15"/>
      <c r="U3" s="16"/>
      <c r="W3" t="str">
        <f>IF(G3-J3-SUM(K3:U3),G3-J3-SUM(K3:U3),"")</f>
        <v/>
      </c>
    </row>
    <row r="4" spans="1:23" x14ac:dyDescent="0.2">
      <c r="A4" s="7" t="str">
        <f t="shared" si="0"/>
        <v>acsmacrolett/0c00241_f1</v>
      </c>
      <c r="B4" s="7" t="s">
        <v>20</v>
      </c>
      <c r="C4" s="17" t="s">
        <v>27</v>
      </c>
      <c r="D4" s="7" t="s">
        <v>22</v>
      </c>
      <c r="E4" s="7" t="s">
        <v>23</v>
      </c>
      <c r="F4" s="7" t="s">
        <v>26</v>
      </c>
      <c r="G4" s="7">
        <v>1</v>
      </c>
      <c r="H4" s="7" t="str" cm="1">
        <f t="array" ref="H4">INDEX(_xlfn.TEXTSPLIT(INDEX(_xlfn.TEXTSPLIT(C4, "/"), 5), "."), 1)</f>
        <v>acsmacrolett</v>
      </c>
      <c r="I4" s="7" t="str" cm="1">
        <f t="array" ref="I4">IF(E4="Abstract","a",LOWER(_xlfn.CONCAT(LEFT(INDEX(_xlfn.TEXTSPLIT(E4," "),1),1),INDEX(_xlfn.TEXTSPLIT(E4," "),2))))</f>
        <v>f1</v>
      </c>
      <c r="J4" s="7">
        <v>0</v>
      </c>
      <c r="K4" s="9"/>
      <c r="L4" s="10"/>
      <c r="M4" s="11"/>
      <c r="N4" s="12"/>
      <c r="O4" s="13"/>
      <c r="P4" s="14"/>
      <c r="Q4" s="21"/>
      <c r="R4" s="22">
        <v>1</v>
      </c>
      <c r="S4" s="23"/>
      <c r="T4" s="15"/>
      <c r="U4" s="16"/>
      <c r="W4" t="str">
        <f>IF(G4-J4-SUM(K4:U4),G4-J4-SUM(K4:U4),"")</f>
        <v/>
      </c>
    </row>
    <row r="5" spans="1:23" x14ac:dyDescent="0.2">
      <c r="A5" s="7" t="str">
        <f t="shared" si="0"/>
        <v>acsmacrolett/0c00461_f1</v>
      </c>
      <c r="B5" s="7" t="s">
        <v>20</v>
      </c>
      <c r="C5" s="17" t="s">
        <v>28</v>
      </c>
      <c r="D5" s="7" t="s">
        <v>22</v>
      </c>
      <c r="E5" s="7" t="s">
        <v>23</v>
      </c>
      <c r="F5" s="7" t="s">
        <v>24</v>
      </c>
      <c r="G5" s="7">
        <v>3</v>
      </c>
      <c r="H5" s="7" t="str" cm="1">
        <f t="array" ref="H5">INDEX(_xlfn.TEXTSPLIT(INDEX(_xlfn.TEXTSPLIT(C5, "/"), 5), "."), 1)</f>
        <v>acsmacrolett</v>
      </c>
      <c r="I5" s="7" t="str" cm="1">
        <f t="array" ref="I5">IF(E5="Abstract","a",LOWER(_xlfn.CONCAT(LEFT(INDEX(_xlfn.TEXTSPLIT(E5," "),1),1),INDEX(_xlfn.TEXTSPLIT(E5," "),2))))</f>
        <v>f1</v>
      </c>
      <c r="J5" s="7">
        <v>1</v>
      </c>
      <c r="K5" s="9"/>
      <c r="L5" s="10"/>
      <c r="M5" s="11"/>
      <c r="N5" s="12"/>
      <c r="O5" s="13"/>
      <c r="P5" s="14">
        <v>2</v>
      </c>
      <c r="Q5" s="21"/>
      <c r="R5" s="22"/>
      <c r="S5" s="23"/>
      <c r="T5" s="15"/>
      <c r="U5" s="16"/>
      <c r="W5" t="str">
        <f>IF(G5-J5-SUM(K5:U5),G5-J5-SUM(K5:U5),"")</f>
        <v/>
      </c>
    </row>
    <row r="6" spans="1:23" x14ac:dyDescent="0.2">
      <c r="A6" s="7" t="str">
        <f t="shared" si="0"/>
        <v>acsmacrolett/0c00461_f2</v>
      </c>
      <c r="B6" s="7" t="s">
        <v>20</v>
      </c>
      <c r="C6" s="17" t="s">
        <v>28</v>
      </c>
      <c r="D6" s="7" t="s">
        <v>22</v>
      </c>
      <c r="E6" s="7" t="s">
        <v>29</v>
      </c>
      <c r="F6" s="7" t="s">
        <v>24</v>
      </c>
      <c r="G6" s="7">
        <v>2</v>
      </c>
      <c r="H6" s="7" t="str" cm="1">
        <f t="array" ref="H6">INDEX(_xlfn.TEXTSPLIT(INDEX(_xlfn.TEXTSPLIT(C6, "/"), 5), "."), 1)</f>
        <v>acsmacrolett</v>
      </c>
      <c r="I6" s="7" t="str" cm="1">
        <f t="array" ref="I6">IF(E6="Abstract","a",LOWER(_xlfn.CONCAT(LEFT(INDEX(_xlfn.TEXTSPLIT(E6," "),1),1),INDEX(_xlfn.TEXTSPLIT(E6," "),2))))</f>
        <v>f2</v>
      </c>
      <c r="J6" s="7">
        <v>1</v>
      </c>
      <c r="K6" s="9"/>
      <c r="L6" s="10"/>
      <c r="M6" s="11"/>
      <c r="N6" s="12"/>
      <c r="O6" s="13"/>
      <c r="P6" s="14">
        <v>1</v>
      </c>
      <c r="Q6" s="21"/>
      <c r="R6" s="22"/>
      <c r="S6" s="23"/>
      <c r="T6" s="15"/>
      <c r="U6" s="16"/>
      <c r="W6" t="str">
        <f>IF(G6-J6-SUM(K6:U6),G6-J6-SUM(K6:U6),"")</f>
        <v/>
      </c>
    </row>
    <row r="7" spans="1:23" x14ac:dyDescent="0.2">
      <c r="A7" s="7" t="str">
        <f t="shared" si="0"/>
        <v>acsmacrolett/0c00469_s1</v>
      </c>
      <c r="B7" s="7" t="s">
        <v>20</v>
      </c>
      <c r="C7" s="17" t="s">
        <v>30</v>
      </c>
      <c r="D7" s="7" t="s">
        <v>22</v>
      </c>
      <c r="E7" s="7" t="s">
        <v>31</v>
      </c>
      <c r="F7" s="7" t="s">
        <v>24</v>
      </c>
      <c r="G7" s="7">
        <v>1</v>
      </c>
      <c r="H7" s="7" t="str" cm="1">
        <f t="array" ref="H7">INDEX(_xlfn.TEXTSPLIT(INDEX(_xlfn.TEXTSPLIT(C7, "/"), 5), "."), 1)</f>
        <v>acsmacrolett</v>
      </c>
      <c r="I7" s="7" t="str" cm="1">
        <f t="array" ref="I7">IF(E7="Abstract","a",LOWER(_xlfn.CONCAT(LEFT(INDEX(_xlfn.TEXTSPLIT(E7," "),1),1),INDEX(_xlfn.TEXTSPLIT(E7," "),2))))</f>
        <v>s1</v>
      </c>
      <c r="J7" s="7">
        <v>0</v>
      </c>
      <c r="K7" s="9"/>
      <c r="L7" s="10">
        <v>1</v>
      </c>
      <c r="M7" s="11"/>
      <c r="N7" s="12"/>
      <c r="O7" s="13"/>
      <c r="P7" s="14"/>
      <c r="Q7" s="21"/>
      <c r="R7" s="22"/>
      <c r="S7" s="23"/>
      <c r="T7" s="15"/>
      <c r="U7" s="16"/>
      <c r="W7" t="str">
        <f>IF(G7-J7-SUM(K7:U7),G7-J7-SUM(K7:U7),"")</f>
        <v/>
      </c>
    </row>
    <row r="8" spans="1:23" x14ac:dyDescent="0.2">
      <c r="A8" s="7" t="str">
        <f t="shared" si="0"/>
        <v>acsmacrolett/0c00495_f1</v>
      </c>
      <c r="B8" s="7" t="s">
        <v>20</v>
      </c>
      <c r="C8" s="17" t="s">
        <v>32</v>
      </c>
      <c r="D8" s="7" t="s">
        <v>22</v>
      </c>
      <c r="E8" s="7" t="s">
        <v>23</v>
      </c>
      <c r="F8" s="7" t="s">
        <v>33</v>
      </c>
      <c r="G8" s="7">
        <v>2</v>
      </c>
      <c r="H8" s="7" t="str" cm="1">
        <f t="array" ref="H8">INDEX(_xlfn.TEXTSPLIT(INDEX(_xlfn.TEXTSPLIT(C8, "/"), 5), "."), 1)</f>
        <v>acsmacrolett</v>
      </c>
      <c r="I8" s="7" t="str" cm="1">
        <f t="array" ref="I8">IF(E8="Abstract","a",LOWER(_xlfn.CONCAT(LEFT(INDEX(_xlfn.TEXTSPLIT(E8," "),1),1),INDEX(_xlfn.TEXTSPLIT(E8," "),2))))</f>
        <v>f1</v>
      </c>
      <c r="J8" s="1"/>
      <c r="K8" s="9"/>
      <c r="L8" s="10"/>
      <c r="M8" s="11"/>
      <c r="N8" s="12"/>
      <c r="O8" s="13"/>
      <c r="P8" s="14"/>
      <c r="Q8" s="21"/>
      <c r="R8" s="22"/>
      <c r="S8" s="23"/>
      <c r="T8" s="15">
        <v>2</v>
      </c>
      <c r="U8" s="16"/>
      <c r="W8" t="str">
        <f>IF(G8-J8-SUM(K8:U8),G8-J8-SUM(K8:U8),"")</f>
        <v/>
      </c>
    </row>
    <row r="9" spans="1:23" x14ac:dyDescent="0.2">
      <c r="A9" s="7" t="str">
        <f t="shared" si="0"/>
        <v>acsmacrolett/0c00645_f1</v>
      </c>
      <c r="B9" s="7" t="s">
        <v>20</v>
      </c>
      <c r="C9" s="17" t="s">
        <v>34</v>
      </c>
      <c r="D9" s="7" t="s">
        <v>22</v>
      </c>
      <c r="E9" s="7" t="s">
        <v>23</v>
      </c>
      <c r="F9" s="7" t="s">
        <v>24</v>
      </c>
      <c r="G9" s="7">
        <v>12</v>
      </c>
      <c r="H9" s="7" t="str" cm="1">
        <f t="array" ref="H9">INDEX(_xlfn.TEXTSPLIT(INDEX(_xlfn.TEXTSPLIT(C9, "/"), 5), "."), 1)</f>
        <v>acsmacrolett</v>
      </c>
      <c r="I9" s="7" t="str" cm="1">
        <f t="array" ref="I9">IF(E9="Abstract","a",LOWER(_xlfn.CONCAT(LEFT(INDEX(_xlfn.TEXTSPLIT(E9," "),1),1),INDEX(_xlfn.TEXTSPLIT(E9," "),2))))</f>
        <v>f1</v>
      </c>
      <c r="J9" s="7">
        <v>12</v>
      </c>
      <c r="K9" s="9"/>
      <c r="L9" s="10"/>
      <c r="M9" s="11"/>
      <c r="N9" s="12"/>
      <c r="O9" s="13"/>
      <c r="P9" s="14"/>
      <c r="Q9" s="21"/>
      <c r="R9" s="22"/>
      <c r="S9" s="23"/>
      <c r="T9" s="15"/>
      <c r="U9" s="16"/>
      <c r="W9" t="str">
        <f>IF(G9-J9-SUM(K9:U9),G9-J9-SUM(K9:U9),"")</f>
        <v/>
      </c>
    </row>
    <row r="10" spans="1:23" x14ac:dyDescent="0.2">
      <c r="A10" s="7" t="str">
        <f t="shared" si="0"/>
        <v>acsmacrolett/0c00784_f1</v>
      </c>
      <c r="B10" s="7" t="s">
        <v>20</v>
      </c>
      <c r="C10" s="17" t="s">
        <v>35</v>
      </c>
      <c r="D10" s="7" t="s">
        <v>22</v>
      </c>
      <c r="E10" s="7" t="s">
        <v>23</v>
      </c>
      <c r="F10" s="7" t="s">
        <v>24</v>
      </c>
      <c r="G10" s="7">
        <v>2</v>
      </c>
      <c r="H10" s="7" t="str" cm="1">
        <f t="array" ref="H10">INDEX(_xlfn.TEXTSPLIT(INDEX(_xlfn.TEXTSPLIT(C10, "/"), 5), "."), 1)</f>
        <v>acsmacrolett</v>
      </c>
      <c r="I10" s="7" t="str" cm="1">
        <f t="array" ref="I10">IF(E10="Abstract","a",LOWER(_xlfn.CONCAT(LEFT(INDEX(_xlfn.TEXTSPLIT(E10," "),1),1),INDEX(_xlfn.TEXTSPLIT(E10," "),2))))</f>
        <v>f1</v>
      </c>
      <c r="J10" s="7">
        <v>0</v>
      </c>
      <c r="K10" s="9"/>
      <c r="L10" s="10"/>
      <c r="M10" s="11">
        <v>2</v>
      </c>
      <c r="N10" s="12"/>
      <c r="O10" s="13"/>
      <c r="P10" s="14"/>
      <c r="Q10" s="21"/>
      <c r="R10" s="22"/>
      <c r="S10" s="23"/>
      <c r="T10" s="15"/>
      <c r="U10" s="16"/>
      <c r="W10" t="str">
        <f>IF(G10-J10-SUM(K10:U10),G10-J10-SUM(K10:U10),"")</f>
        <v/>
      </c>
    </row>
    <row r="11" spans="1:23" x14ac:dyDescent="0.2">
      <c r="A11" s="7" t="str">
        <f t="shared" si="0"/>
        <v>acsmacrolett/0c00849_f1</v>
      </c>
      <c r="B11" s="7" t="s">
        <v>20</v>
      </c>
      <c r="C11" s="17" t="s">
        <v>36</v>
      </c>
      <c r="D11" s="7" t="s">
        <v>22</v>
      </c>
      <c r="E11" s="7" t="s">
        <v>23</v>
      </c>
      <c r="F11" s="7" t="s">
        <v>33</v>
      </c>
      <c r="G11" s="7">
        <v>1</v>
      </c>
      <c r="H11" s="7" t="str" cm="1">
        <f t="array" ref="H11">INDEX(_xlfn.TEXTSPLIT(INDEX(_xlfn.TEXTSPLIT(C11, "/"), 5), "."), 1)</f>
        <v>acsmacrolett</v>
      </c>
      <c r="I11" s="7" t="str" cm="1">
        <f t="array" ref="I11">IF(E11="Abstract","a",LOWER(_xlfn.CONCAT(LEFT(INDEX(_xlfn.TEXTSPLIT(E11," "),1),1),INDEX(_xlfn.TEXTSPLIT(E11," "),2))))</f>
        <v>f1</v>
      </c>
      <c r="J11" s="7">
        <v>0</v>
      </c>
      <c r="K11" s="9">
        <v>1</v>
      </c>
      <c r="L11" s="10"/>
      <c r="M11" s="11"/>
      <c r="N11" s="12"/>
      <c r="O11" s="13"/>
      <c r="P11" s="14"/>
      <c r="Q11" s="21"/>
      <c r="R11" s="22"/>
      <c r="S11" s="23"/>
      <c r="T11" s="15"/>
      <c r="U11" s="16"/>
      <c r="W11" t="str">
        <f>IF(G11-J11-SUM(K11:U11),G11-J11-SUM(K11:U11),"")</f>
        <v/>
      </c>
    </row>
    <row r="12" spans="1:23" x14ac:dyDescent="0.2">
      <c r="A12" s="7" t="str">
        <f t="shared" si="0"/>
        <v>acsmacrolett/1c00142_f1</v>
      </c>
      <c r="B12" s="7" t="s">
        <v>20</v>
      </c>
      <c r="C12" s="17" t="s">
        <v>37</v>
      </c>
      <c r="D12" s="7" t="s">
        <v>22</v>
      </c>
      <c r="E12" s="7" t="s">
        <v>23</v>
      </c>
      <c r="F12" s="7" t="s">
        <v>33</v>
      </c>
      <c r="G12" s="7">
        <v>1</v>
      </c>
      <c r="H12" s="7" t="str" cm="1">
        <f t="array" ref="H12">INDEX(_xlfn.TEXTSPLIT(INDEX(_xlfn.TEXTSPLIT(C12, "/"), 5), "."), 1)</f>
        <v>acsmacrolett</v>
      </c>
      <c r="I12" s="7" t="str" cm="1">
        <f t="array" ref="I12">IF(E12="Abstract","a",LOWER(_xlfn.CONCAT(LEFT(INDEX(_xlfn.TEXTSPLIT(E12," "),1),1),INDEX(_xlfn.TEXTSPLIT(E12," "),2))))</f>
        <v>f1</v>
      </c>
      <c r="J12" s="7"/>
      <c r="K12" s="9"/>
      <c r="L12" s="10"/>
      <c r="M12" s="11"/>
      <c r="N12" s="12">
        <v>1</v>
      </c>
      <c r="O12" s="13"/>
      <c r="P12" s="14"/>
      <c r="Q12" s="21"/>
      <c r="R12" s="22"/>
      <c r="S12" s="23"/>
      <c r="T12" s="15"/>
      <c r="U12" s="16"/>
      <c r="W12" t="str">
        <f>IF(G12-J12-SUM(K12:U12),G12-J12-SUM(K12:U12),"")</f>
        <v/>
      </c>
    </row>
    <row r="13" spans="1:23" x14ac:dyDescent="0.2">
      <c r="A13" s="7" t="str">
        <f t="shared" si="0"/>
        <v>acsmacrolett/1c00457_f1</v>
      </c>
      <c r="B13" s="7" t="s">
        <v>20</v>
      </c>
      <c r="C13" s="17" t="s">
        <v>38</v>
      </c>
      <c r="D13" s="7" t="s">
        <v>22</v>
      </c>
      <c r="E13" s="7" t="s">
        <v>23</v>
      </c>
      <c r="F13" s="7" t="s">
        <v>33</v>
      </c>
      <c r="G13" s="7">
        <v>4</v>
      </c>
      <c r="H13" s="7" t="str" cm="1">
        <f t="array" ref="H13">INDEX(_xlfn.TEXTSPLIT(INDEX(_xlfn.TEXTSPLIT(C13, "/"), 5), "."), 1)</f>
        <v>acsmacrolett</v>
      </c>
      <c r="I13" s="7" t="str" cm="1">
        <f t="array" ref="I13">IF(E13="Abstract","a",LOWER(_xlfn.CONCAT(LEFT(INDEX(_xlfn.TEXTSPLIT(E13," "),1),1),INDEX(_xlfn.TEXTSPLIT(E13," "),2))))</f>
        <v>f1</v>
      </c>
      <c r="J13" s="7">
        <v>4</v>
      </c>
      <c r="K13" s="9"/>
      <c r="L13" s="10"/>
      <c r="M13" s="11"/>
      <c r="N13" s="12"/>
      <c r="O13" s="13"/>
      <c r="P13" s="14"/>
      <c r="Q13" s="21"/>
      <c r="R13" s="22"/>
      <c r="S13" s="23"/>
      <c r="T13" s="15"/>
      <c r="U13" s="16"/>
      <c r="W13" t="str">
        <f>IF(G13-J13-SUM(K13:U13),G13-J13-SUM(K13:U13),"")</f>
        <v/>
      </c>
    </row>
    <row r="14" spans="1:23" x14ac:dyDescent="0.2">
      <c r="A14" s="7" t="str">
        <f t="shared" si="0"/>
        <v>acsmacrolett/1c00558_s1</v>
      </c>
      <c r="B14" s="7" t="s">
        <v>20</v>
      </c>
      <c r="C14" s="17" t="s">
        <v>39</v>
      </c>
      <c r="D14" s="7" t="s">
        <v>22</v>
      </c>
      <c r="E14" s="7" t="s">
        <v>31</v>
      </c>
      <c r="F14" s="7" t="s">
        <v>40</v>
      </c>
      <c r="G14" s="7">
        <v>1</v>
      </c>
      <c r="H14" s="7" t="str" cm="1">
        <f t="array" ref="H14">INDEX(_xlfn.TEXTSPLIT(INDEX(_xlfn.TEXTSPLIT(C14, "/"), 5), "."), 1)</f>
        <v>acsmacrolett</v>
      </c>
      <c r="I14" s="7" t="str" cm="1">
        <f t="array" ref="I14">IF(E14="Abstract","a",LOWER(_xlfn.CONCAT(LEFT(INDEX(_xlfn.TEXTSPLIT(E14," "),1),1),INDEX(_xlfn.TEXTSPLIT(E14," "),2))))</f>
        <v>s1</v>
      </c>
      <c r="J14" s="7">
        <v>1</v>
      </c>
      <c r="K14" s="9"/>
      <c r="L14" s="10"/>
      <c r="M14" s="11"/>
      <c r="N14" s="12"/>
      <c r="O14" s="13"/>
      <c r="P14" s="14"/>
      <c r="Q14" s="21"/>
      <c r="R14" s="22"/>
      <c r="S14" s="23"/>
      <c r="T14" s="15"/>
      <c r="U14" s="16"/>
      <c r="W14" t="str">
        <f>IF(G14-J14-SUM(K14:U14),G14-J14-SUM(K14:U14),"")</f>
        <v/>
      </c>
    </row>
    <row r="15" spans="1:23" x14ac:dyDescent="0.2">
      <c r="A15" s="7" t="str">
        <f t="shared" si="0"/>
        <v>acsmacrolett/1c00564_f1</v>
      </c>
      <c r="B15" s="7" t="s">
        <v>20</v>
      </c>
      <c r="C15" s="17" t="s">
        <v>41</v>
      </c>
      <c r="D15" s="7" t="s">
        <v>22</v>
      </c>
      <c r="E15" s="7" t="s">
        <v>23</v>
      </c>
      <c r="F15" s="7" t="s">
        <v>40</v>
      </c>
      <c r="G15" s="7">
        <v>1</v>
      </c>
      <c r="H15" s="7" t="str" cm="1">
        <f t="array" ref="H15">INDEX(_xlfn.TEXTSPLIT(INDEX(_xlfn.TEXTSPLIT(C15, "/"), 5), "."), 1)</f>
        <v>acsmacrolett</v>
      </c>
      <c r="I15" s="7" t="str" cm="1">
        <f t="array" ref="I15">IF(E15="Abstract","a",LOWER(_xlfn.CONCAT(LEFT(INDEX(_xlfn.TEXTSPLIT(E15," "),1),1),INDEX(_xlfn.TEXTSPLIT(E15," "),2))))</f>
        <v>f1</v>
      </c>
      <c r="J15" s="7">
        <v>1</v>
      </c>
      <c r="K15" s="9"/>
      <c r="L15" s="10"/>
      <c r="M15" s="11"/>
      <c r="N15" s="12"/>
      <c r="O15" s="13"/>
      <c r="P15" s="14"/>
      <c r="Q15" s="21"/>
      <c r="R15" s="22"/>
      <c r="S15" s="23"/>
      <c r="T15" s="15"/>
      <c r="U15" s="16"/>
      <c r="W15" t="str">
        <f>IF(G15-J15-SUM(K15:U15),G15-J15-SUM(K15:U15),"")</f>
        <v/>
      </c>
    </row>
    <row r="16" spans="1:23" x14ac:dyDescent="0.2">
      <c r="A16" s="7" t="str">
        <f t="shared" si="0"/>
        <v>acsmacrolett/1c00564_f2</v>
      </c>
      <c r="B16" s="7" t="s">
        <v>20</v>
      </c>
      <c r="C16" s="17" t="s">
        <v>41</v>
      </c>
      <c r="D16" s="7" t="s">
        <v>22</v>
      </c>
      <c r="E16" s="7" t="s">
        <v>29</v>
      </c>
      <c r="F16" s="7" t="s">
        <v>40</v>
      </c>
      <c r="G16" s="7">
        <v>2</v>
      </c>
      <c r="H16" s="7" t="str" cm="1">
        <f t="array" ref="H16">INDEX(_xlfn.TEXTSPLIT(INDEX(_xlfn.TEXTSPLIT(C16, "/"), 5), "."), 1)</f>
        <v>acsmacrolett</v>
      </c>
      <c r="I16" s="7" t="str" cm="1">
        <f t="array" ref="I16">IF(E16="Abstract","a",LOWER(_xlfn.CONCAT(LEFT(INDEX(_xlfn.TEXTSPLIT(E16," "),1),1),INDEX(_xlfn.TEXTSPLIT(E16," "),2))))</f>
        <v>f2</v>
      </c>
      <c r="J16" s="7">
        <v>1</v>
      </c>
      <c r="K16" s="9">
        <v>1</v>
      </c>
      <c r="L16" s="10"/>
      <c r="M16" s="11"/>
      <c r="N16" s="12"/>
      <c r="O16" s="13"/>
      <c r="P16" s="14"/>
      <c r="Q16" s="21"/>
      <c r="R16" s="22"/>
      <c r="S16" s="23"/>
      <c r="T16" s="15"/>
      <c r="U16" s="16"/>
      <c r="W16" t="str">
        <f>IF(G16-J16-SUM(K16:U16),G16-J16-SUM(K16:U16),"")</f>
        <v/>
      </c>
    </row>
    <row r="17" spans="1:23" x14ac:dyDescent="0.2">
      <c r="A17" s="7" t="str">
        <f t="shared" si="0"/>
        <v>acsmacrolett/1c00564_f4</v>
      </c>
      <c r="B17" s="7" t="s">
        <v>20</v>
      </c>
      <c r="C17" s="17" t="s">
        <v>41</v>
      </c>
      <c r="D17" s="7" t="s">
        <v>22</v>
      </c>
      <c r="E17" s="7" t="s">
        <v>42</v>
      </c>
      <c r="F17" s="7" t="s">
        <v>40</v>
      </c>
      <c r="G17" s="7">
        <v>2</v>
      </c>
      <c r="H17" s="7" t="str" cm="1">
        <f t="array" ref="H17">INDEX(_xlfn.TEXTSPLIT(INDEX(_xlfn.TEXTSPLIT(C17, "/"), 5), "."), 1)</f>
        <v>acsmacrolett</v>
      </c>
      <c r="I17" s="7" t="str" cm="1">
        <f t="array" ref="I17">IF(E17="Abstract","a",LOWER(_xlfn.CONCAT(LEFT(INDEX(_xlfn.TEXTSPLIT(E17," "),1),1),INDEX(_xlfn.TEXTSPLIT(E17," "),2))))</f>
        <v>f4</v>
      </c>
      <c r="J17" s="7">
        <v>1</v>
      </c>
      <c r="K17" s="9">
        <v>1</v>
      </c>
      <c r="L17" s="10"/>
      <c r="M17" s="11"/>
      <c r="N17" s="12"/>
      <c r="O17" s="13"/>
      <c r="P17" s="14"/>
      <c r="Q17" s="21"/>
      <c r="R17" s="22"/>
      <c r="S17" s="23"/>
      <c r="T17" s="15"/>
      <c r="U17" s="16"/>
      <c r="W17" t="str">
        <f>IF(G17-J17-SUM(K17:U17),G17-J17-SUM(K17:U17),"")</f>
        <v/>
      </c>
    </row>
    <row r="18" spans="1:23" x14ac:dyDescent="0.2">
      <c r="A18" s="7" t="str">
        <f t="shared" si="0"/>
        <v>acsmacrolett/1c00564_s1</v>
      </c>
      <c r="B18" s="7" t="s">
        <v>20</v>
      </c>
      <c r="C18" s="17" t="s">
        <v>41</v>
      </c>
      <c r="D18" s="7" t="s">
        <v>22</v>
      </c>
      <c r="E18" s="7" t="s">
        <v>31</v>
      </c>
      <c r="F18" s="7" t="s">
        <v>40</v>
      </c>
      <c r="G18" s="7">
        <v>3</v>
      </c>
      <c r="H18" s="7" t="str" cm="1">
        <f t="array" ref="H18">INDEX(_xlfn.TEXTSPLIT(INDEX(_xlfn.TEXTSPLIT(C18, "/"), 5), "."), 1)</f>
        <v>acsmacrolett</v>
      </c>
      <c r="I18" s="7" t="str" cm="1">
        <f t="array" ref="I18">IF(E18="Abstract","a",LOWER(_xlfn.CONCAT(LEFT(INDEX(_xlfn.TEXTSPLIT(E18," "),1),1),INDEX(_xlfn.TEXTSPLIT(E18," "),2))))</f>
        <v>s1</v>
      </c>
      <c r="J18" s="7">
        <v>1</v>
      </c>
      <c r="K18" s="9">
        <v>2</v>
      </c>
      <c r="L18" s="10"/>
      <c r="M18" s="11"/>
      <c r="N18" s="12"/>
      <c r="O18" s="13"/>
      <c r="P18" s="14"/>
      <c r="Q18" s="21"/>
      <c r="R18" s="22"/>
      <c r="S18" s="23"/>
      <c r="T18" s="15"/>
      <c r="U18" s="16"/>
      <c r="W18" t="str">
        <f>IF(G18-J18-SUM(K18:U18),G18-J18-SUM(K18:U18),"")</f>
        <v/>
      </c>
    </row>
    <row r="19" spans="1:23" x14ac:dyDescent="0.2">
      <c r="A19" s="7" t="str">
        <f t="shared" si="0"/>
        <v>acsmacrolett/1c00628_f1</v>
      </c>
      <c r="B19" s="7" t="s">
        <v>20</v>
      </c>
      <c r="C19" s="17" t="s">
        <v>43</v>
      </c>
      <c r="D19" s="7" t="s">
        <v>22</v>
      </c>
      <c r="E19" s="7" t="s">
        <v>23</v>
      </c>
      <c r="F19" s="7" t="s">
        <v>33</v>
      </c>
      <c r="G19" s="7">
        <v>1</v>
      </c>
      <c r="H19" s="7" t="str" cm="1">
        <f t="array" ref="H19">INDEX(_xlfn.TEXTSPLIT(INDEX(_xlfn.TEXTSPLIT(C19, "/"), 5), "."), 1)</f>
        <v>acsmacrolett</v>
      </c>
      <c r="I19" s="7" t="str" cm="1">
        <f t="array" ref="I19">IF(E19="Abstract","a",LOWER(_xlfn.CONCAT(LEFT(INDEX(_xlfn.TEXTSPLIT(E19," "),1),1),INDEX(_xlfn.TEXTSPLIT(E19," "),2))))</f>
        <v>f1</v>
      </c>
      <c r="J19" s="7"/>
      <c r="K19" s="9"/>
      <c r="L19" s="10"/>
      <c r="M19" s="11"/>
      <c r="N19" s="12">
        <v>1</v>
      </c>
      <c r="O19" s="13"/>
      <c r="P19" s="14"/>
      <c r="Q19" s="21"/>
      <c r="R19" s="22"/>
      <c r="S19" s="23"/>
      <c r="T19" s="15"/>
      <c r="U19" s="16"/>
      <c r="W19" t="str">
        <f>IF(G19-J19-SUM(K19:U19),G19-J19-SUM(K19:U19),"")</f>
        <v/>
      </c>
    </row>
    <row r="20" spans="1:23" x14ac:dyDescent="0.2">
      <c r="A20" s="7" t="str">
        <f t="shared" si="0"/>
        <v>acsmacrolett/1c00628_f3</v>
      </c>
      <c r="B20" s="7" t="s">
        <v>20</v>
      </c>
      <c r="C20" s="17" t="s">
        <v>43</v>
      </c>
      <c r="D20" s="7" t="s">
        <v>22</v>
      </c>
      <c r="E20" s="7" t="s">
        <v>44</v>
      </c>
      <c r="F20" s="7" t="s">
        <v>33</v>
      </c>
      <c r="G20" s="7">
        <v>4</v>
      </c>
      <c r="H20" s="7" t="str" cm="1">
        <f t="array" ref="H20">INDEX(_xlfn.TEXTSPLIT(INDEX(_xlfn.TEXTSPLIT(C20, "/"), 5), "."), 1)</f>
        <v>acsmacrolett</v>
      </c>
      <c r="I20" s="7" t="str" cm="1">
        <f t="array" ref="I20">IF(E20="Abstract","a",LOWER(_xlfn.CONCAT(LEFT(INDEX(_xlfn.TEXTSPLIT(E20," "),1),1),INDEX(_xlfn.TEXTSPLIT(E20," "),2))))</f>
        <v>f3</v>
      </c>
      <c r="J20" s="7">
        <v>2</v>
      </c>
      <c r="K20" s="9"/>
      <c r="L20" s="10"/>
      <c r="M20" s="11">
        <v>1</v>
      </c>
      <c r="N20" s="12">
        <v>1</v>
      </c>
      <c r="O20" s="13"/>
      <c r="P20" s="14"/>
      <c r="Q20" s="21"/>
      <c r="R20" s="22"/>
      <c r="S20" s="23"/>
      <c r="T20" s="15"/>
      <c r="U20" s="16"/>
      <c r="W20" t="str">
        <f>IF(G20-J20-SUM(K20:U20),G20-J20-SUM(K20:U20),"")</f>
        <v/>
      </c>
    </row>
    <row r="21" spans="1:23" x14ac:dyDescent="0.2">
      <c r="A21" s="7" t="str">
        <f t="shared" si="0"/>
        <v>acsmacrolett/1c00647_f2</v>
      </c>
      <c r="B21" s="7" t="s">
        <v>20</v>
      </c>
      <c r="C21" s="17" t="s">
        <v>45</v>
      </c>
      <c r="D21" s="7" t="s">
        <v>22</v>
      </c>
      <c r="E21" s="7" t="s">
        <v>29</v>
      </c>
      <c r="F21" s="7" t="s">
        <v>40</v>
      </c>
      <c r="G21" s="7">
        <v>2</v>
      </c>
      <c r="H21" s="7" t="str" cm="1">
        <f t="array" ref="H21">INDEX(_xlfn.TEXTSPLIT(INDEX(_xlfn.TEXTSPLIT(C21, "/"), 5), "."), 1)</f>
        <v>acsmacrolett</v>
      </c>
      <c r="I21" s="7" t="str" cm="1">
        <f t="array" ref="I21">IF(E21="Abstract","a",LOWER(_xlfn.CONCAT(LEFT(INDEX(_xlfn.TEXTSPLIT(E21," "),1),1),INDEX(_xlfn.TEXTSPLIT(E21," "),2))))</f>
        <v>f2</v>
      </c>
      <c r="J21" s="7">
        <v>0</v>
      </c>
      <c r="K21" s="9">
        <v>1</v>
      </c>
      <c r="L21" s="10"/>
      <c r="M21" s="11">
        <v>1</v>
      </c>
      <c r="N21" s="12"/>
      <c r="O21" s="13"/>
      <c r="P21" s="14"/>
      <c r="Q21" s="21"/>
      <c r="R21" s="22"/>
      <c r="S21" s="23"/>
      <c r="T21" s="15"/>
      <c r="U21" s="16"/>
      <c r="W21" t="str">
        <f>IF(G21-J21-SUM(K21:U21),G21-J21-SUM(K21:U21),"")</f>
        <v/>
      </c>
    </row>
    <row r="22" spans="1:23" x14ac:dyDescent="0.2">
      <c r="A22" s="7" t="str">
        <f t="shared" si="0"/>
        <v>acsmacrolett/1c00647_s1</v>
      </c>
      <c r="B22" s="7" t="s">
        <v>20</v>
      </c>
      <c r="C22" s="17" t="s">
        <v>45</v>
      </c>
      <c r="D22" s="7" t="s">
        <v>22</v>
      </c>
      <c r="E22" s="7" t="s">
        <v>31</v>
      </c>
      <c r="F22" s="7" t="s">
        <v>40</v>
      </c>
      <c r="G22" s="7">
        <v>3</v>
      </c>
      <c r="H22" s="7" t="str" cm="1">
        <f t="array" ref="H22">INDEX(_xlfn.TEXTSPLIT(INDEX(_xlfn.TEXTSPLIT(C22, "/"), 5), "."), 1)</f>
        <v>acsmacrolett</v>
      </c>
      <c r="I22" s="7" t="str" cm="1">
        <f t="array" ref="I22">IF(E22="Abstract","a",LOWER(_xlfn.CONCAT(LEFT(INDEX(_xlfn.TEXTSPLIT(E22," "),1),1),INDEX(_xlfn.TEXTSPLIT(E22," "),2))))</f>
        <v>s1</v>
      </c>
      <c r="J22" s="7">
        <v>0</v>
      </c>
      <c r="K22" s="9"/>
      <c r="L22" s="10">
        <v>1</v>
      </c>
      <c r="M22" s="11">
        <v>2</v>
      </c>
      <c r="N22" s="12"/>
      <c r="O22" s="13"/>
      <c r="P22" s="14"/>
      <c r="Q22" s="21"/>
      <c r="R22" s="22"/>
      <c r="S22" s="23"/>
      <c r="T22" s="15"/>
      <c r="U22" s="16"/>
      <c r="W22" t="str">
        <f>IF(G22-J22-SUM(K22:U22),G22-J22-SUM(K22:U22),"")</f>
        <v/>
      </c>
    </row>
    <row r="23" spans="1:23" x14ac:dyDescent="0.2">
      <c r="A23" s="7" t="str">
        <f t="shared" si="0"/>
        <v>acsmacrolett/1c00676_a</v>
      </c>
      <c r="B23" s="7" t="s">
        <v>20</v>
      </c>
      <c r="C23" s="17" t="s">
        <v>46</v>
      </c>
      <c r="D23" s="7" t="s">
        <v>22</v>
      </c>
      <c r="E23" s="7" t="s">
        <v>47</v>
      </c>
      <c r="F23" s="7" t="s">
        <v>40</v>
      </c>
      <c r="G23" s="7">
        <v>1</v>
      </c>
      <c r="H23" s="7" t="str" cm="1">
        <f t="array" ref="H23">INDEX(_xlfn.TEXTSPLIT(INDEX(_xlfn.TEXTSPLIT(C23, "/"), 5), "."), 1)</f>
        <v>acsmacrolett</v>
      </c>
      <c r="I23" s="7" t="str" cm="1">
        <f t="array" ref="I23">IF(E23="Abstract","a",LOWER(_xlfn.CONCAT(LEFT(INDEX(_xlfn.TEXTSPLIT(E23," "),1),1),INDEX(_xlfn.TEXTSPLIT(E23," "),2))))</f>
        <v>a</v>
      </c>
      <c r="J23" s="7">
        <v>1</v>
      </c>
      <c r="K23" s="9"/>
      <c r="L23" s="10"/>
      <c r="M23" s="11"/>
      <c r="N23" s="12"/>
      <c r="O23" s="13"/>
      <c r="P23" s="14"/>
      <c r="Q23" s="21"/>
      <c r="R23" s="22"/>
      <c r="S23" s="23"/>
      <c r="T23" s="15"/>
      <c r="U23" s="16"/>
      <c r="W23" t="str">
        <f>IF(G23-J23-SUM(K23:U23),G23-J23-SUM(K23:U23),"")</f>
        <v/>
      </c>
    </row>
    <row r="24" spans="1:23" x14ac:dyDescent="0.2">
      <c r="A24" s="7" t="str">
        <f t="shared" si="0"/>
        <v>acsmacrolett/1c00676_f1</v>
      </c>
      <c r="B24" s="7" t="s">
        <v>20</v>
      </c>
      <c r="C24" s="17" t="s">
        <v>46</v>
      </c>
      <c r="D24" s="7" t="s">
        <v>22</v>
      </c>
      <c r="E24" s="7" t="s">
        <v>23</v>
      </c>
      <c r="F24" s="7" t="s">
        <v>40</v>
      </c>
      <c r="G24" s="7">
        <v>2</v>
      </c>
      <c r="H24" s="7" t="str" cm="1">
        <f t="array" ref="H24">INDEX(_xlfn.TEXTSPLIT(INDEX(_xlfn.TEXTSPLIT(C24, "/"), 5), "."), 1)</f>
        <v>acsmacrolett</v>
      </c>
      <c r="I24" s="7" t="str" cm="1">
        <f t="array" ref="I24">IF(E24="Abstract","a",LOWER(_xlfn.CONCAT(LEFT(INDEX(_xlfn.TEXTSPLIT(E24," "),1),1),INDEX(_xlfn.TEXTSPLIT(E24," "),2))))</f>
        <v>f1</v>
      </c>
      <c r="J24" s="7">
        <v>2</v>
      </c>
      <c r="K24" s="9"/>
      <c r="L24" s="10"/>
      <c r="M24" s="11"/>
      <c r="N24" s="12"/>
      <c r="O24" s="13"/>
      <c r="P24" s="14"/>
      <c r="Q24" s="21"/>
      <c r="R24" s="22"/>
      <c r="S24" s="23"/>
      <c r="T24" s="15"/>
      <c r="U24" s="16"/>
      <c r="W24" t="str">
        <f>IF(G24-J24-SUM(K24:U24),G24-J24-SUM(K24:U24),"")</f>
        <v/>
      </c>
    </row>
    <row r="25" spans="1:23" x14ac:dyDescent="0.2">
      <c r="A25" s="7" t="str">
        <f t="shared" si="0"/>
        <v>acsmacrolett/1c00682_f1</v>
      </c>
      <c r="B25" s="7" t="s">
        <v>20</v>
      </c>
      <c r="C25" s="17" t="s">
        <v>48</v>
      </c>
      <c r="D25" s="7" t="s">
        <v>22</v>
      </c>
      <c r="E25" s="7" t="s">
        <v>23</v>
      </c>
      <c r="F25" s="7" t="s">
        <v>33</v>
      </c>
      <c r="G25" s="7">
        <v>3</v>
      </c>
      <c r="H25" s="7" t="str" cm="1">
        <f t="array" ref="H25">INDEX(_xlfn.TEXTSPLIT(INDEX(_xlfn.TEXTSPLIT(C25, "/"), 5), "."), 1)</f>
        <v>acsmacrolett</v>
      </c>
      <c r="I25" s="7" t="str" cm="1">
        <f t="array" ref="I25">IF(E25="Abstract","a",LOWER(_xlfn.CONCAT(LEFT(INDEX(_xlfn.TEXTSPLIT(E25," "),1),1),INDEX(_xlfn.TEXTSPLIT(E25," "),2))))</f>
        <v>f1</v>
      </c>
      <c r="J25" s="7">
        <v>3</v>
      </c>
      <c r="K25" s="9"/>
      <c r="L25" s="10"/>
      <c r="M25" s="11"/>
      <c r="N25" s="12"/>
      <c r="O25" s="13"/>
      <c r="P25" s="14"/>
      <c r="Q25" s="21"/>
      <c r="R25" s="22"/>
      <c r="S25" s="23"/>
      <c r="T25" s="15"/>
      <c r="U25" s="16"/>
      <c r="W25" t="str">
        <f>IF(G25-J25-SUM(K25:U25),G25-J25-SUM(K25:U25),"")</f>
        <v/>
      </c>
    </row>
    <row r="26" spans="1:23" x14ac:dyDescent="0.2">
      <c r="A26" s="7" t="str">
        <f t="shared" si="0"/>
        <v>acsmacrolett/1c00686_f2</v>
      </c>
      <c r="B26" s="7" t="s">
        <v>20</v>
      </c>
      <c r="C26" s="17" t="s">
        <v>49</v>
      </c>
      <c r="D26" s="7" t="s">
        <v>22</v>
      </c>
      <c r="E26" s="7" t="s">
        <v>29</v>
      </c>
      <c r="F26" s="7" t="s">
        <v>40</v>
      </c>
      <c r="G26" s="7">
        <v>1</v>
      </c>
      <c r="H26" s="7" t="str" cm="1">
        <f t="array" ref="H26">INDEX(_xlfn.TEXTSPLIT(INDEX(_xlfn.TEXTSPLIT(C26, "/"), 5), "."), 1)</f>
        <v>acsmacrolett</v>
      </c>
      <c r="I26" s="7" t="str" cm="1">
        <f t="array" ref="I26">IF(E26="Abstract","a",LOWER(_xlfn.CONCAT(LEFT(INDEX(_xlfn.TEXTSPLIT(E26," "),1),1),INDEX(_xlfn.TEXTSPLIT(E26," "),2))))</f>
        <v>f2</v>
      </c>
      <c r="J26" s="7">
        <v>1</v>
      </c>
      <c r="K26" s="9"/>
      <c r="L26" s="10"/>
      <c r="M26" s="11"/>
      <c r="N26" s="12"/>
      <c r="O26" s="13"/>
      <c r="P26" s="14"/>
      <c r="Q26" s="21"/>
      <c r="R26" s="22"/>
      <c r="S26" s="23"/>
      <c r="T26" s="15"/>
      <c r="U26" s="16"/>
      <c r="W26" t="str">
        <f>IF(G26-J26-SUM(K26:U26),G26-J26-SUM(K26:U26),"")</f>
        <v/>
      </c>
    </row>
    <row r="27" spans="1:23" x14ac:dyDescent="0.2">
      <c r="A27" s="7" t="str">
        <f t="shared" si="0"/>
        <v>acsmacrolett/1c00686_s1</v>
      </c>
      <c r="B27" s="7" t="s">
        <v>20</v>
      </c>
      <c r="C27" s="17" t="s">
        <v>49</v>
      </c>
      <c r="D27" s="7" t="s">
        <v>22</v>
      </c>
      <c r="E27" s="7" t="s">
        <v>31</v>
      </c>
      <c r="F27" s="7" t="s">
        <v>40</v>
      </c>
      <c r="G27" s="7">
        <v>4</v>
      </c>
      <c r="H27" s="7" t="str" cm="1">
        <f t="array" ref="H27">INDEX(_xlfn.TEXTSPLIT(INDEX(_xlfn.TEXTSPLIT(C27, "/"), 5), "."), 1)</f>
        <v>acsmacrolett</v>
      </c>
      <c r="I27" s="7" t="str" cm="1">
        <f t="array" ref="I27">IF(E27="Abstract","a",LOWER(_xlfn.CONCAT(LEFT(INDEX(_xlfn.TEXTSPLIT(E27," "),1),1),INDEX(_xlfn.TEXTSPLIT(E27," "),2))))</f>
        <v>s1</v>
      </c>
      <c r="J27" s="7">
        <v>4</v>
      </c>
      <c r="K27" s="9"/>
      <c r="L27" s="10"/>
      <c r="M27" s="11"/>
      <c r="N27" s="12"/>
      <c r="O27" s="13"/>
      <c r="P27" s="14"/>
      <c r="Q27" s="21"/>
      <c r="R27" s="22"/>
      <c r="S27" s="23"/>
      <c r="T27" s="15"/>
      <c r="U27" s="16"/>
      <c r="W27" t="str">
        <f>IF(G27-J27-SUM(K27:U27),G27-J27-SUM(K27:U27),"")</f>
        <v/>
      </c>
    </row>
    <row r="28" spans="1:23" x14ac:dyDescent="0.2">
      <c r="A28" s="7" t="str">
        <f t="shared" si="0"/>
        <v>acsmacrolett/1c00712_s1</v>
      </c>
      <c r="B28" s="7" t="s">
        <v>20</v>
      </c>
      <c r="C28" s="17" t="s">
        <v>50</v>
      </c>
      <c r="D28" s="7" t="s">
        <v>22</v>
      </c>
      <c r="E28" s="7" t="s">
        <v>31</v>
      </c>
      <c r="F28" s="7" t="s">
        <v>33</v>
      </c>
      <c r="G28" s="7">
        <v>4</v>
      </c>
      <c r="H28" s="7" t="str" cm="1">
        <f t="array" ref="H28">INDEX(_xlfn.TEXTSPLIT(INDEX(_xlfn.TEXTSPLIT(C28, "/"), 5), "."), 1)</f>
        <v>acsmacrolett</v>
      </c>
      <c r="I28" s="7" t="str" cm="1">
        <f t="array" ref="I28">IF(E28="Abstract","a",LOWER(_xlfn.CONCAT(LEFT(INDEX(_xlfn.TEXTSPLIT(E28," "),1),1),INDEX(_xlfn.TEXTSPLIT(E28," "),2))))</f>
        <v>s1</v>
      </c>
      <c r="J28" s="7">
        <v>2</v>
      </c>
      <c r="K28" s="9">
        <v>2</v>
      </c>
      <c r="L28" s="10"/>
      <c r="M28" s="11"/>
      <c r="N28" s="12"/>
      <c r="O28" s="13"/>
      <c r="P28" s="14"/>
      <c r="Q28" s="21"/>
      <c r="R28" s="22"/>
      <c r="S28" s="23"/>
      <c r="T28" s="15"/>
      <c r="U28" s="16"/>
      <c r="W28" t="str">
        <f>IF(G28-J28-SUM(K28:U28),G28-J28-SUM(K28:U28),"")</f>
        <v/>
      </c>
    </row>
    <row r="29" spans="1:23" x14ac:dyDescent="0.2">
      <c r="A29" s="7" t="str">
        <f t="shared" si="0"/>
        <v>acsmacrolett/1c00716_f1</v>
      </c>
      <c r="B29" s="7" t="s">
        <v>20</v>
      </c>
      <c r="C29" s="17" t="s">
        <v>51</v>
      </c>
      <c r="D29" s="7" t="s">
        <v>22</v>
      </c>
      <c r="E29" s="7" t="s">
        <v>23</v>
      </c>
      <c r="F29" s="7" t="s">
        <v>33</v>
      </c>
      <c r="G29" s="7">
        <v>1</v>
      </c>
      <c r="H29" s="7" t="str" cm="1">
        <f t="array" ref="H29">INDEX(_xlfn.TEXTSPLIT(INDEX(_xlfn.TEXTSPLIT(C29, "/"), 5), "."), 1)</f>
        <v>acsmacrolett</v>
      </c>
      <c r="I29" s="7" t="str" cm="1">
        <f t="array" ref="I29">IF(E29="Abstract","a",LOWER(_xlfn.CONCAT(LEFT(INDEX(_xlfn.TEXTSPLIT(E29," "),1),1),INDEX(_xlfn.TEXTSPLIT(E29," "),2))))</f>
        <v>f1</v>
      </c>
      <c r="J29" s="7">
        <v>1</v>
      </c>
      <c r="K29" s="9"/>
      <c r="L29" s="10"/>
      <c r="M29" s="11"/>
      <c r="N29" s="12"/>
      <c r="O29" s="13"/>
      <c r="P29" s="14"/>
      <c r="Q29" s="21"/>
      <c r="R29" s="22"/>
      <c r="S29" s="23"/>
      <c r="T29" s="15"/>
      <c r="U29" s="16"/>
      <c r="W29" t="str">
        <f>IF(G29-J29-SUM(K29:U29),G29-J29-SUM(K29:U29),"")</f>
        <v/>
      </c>
    </row>
    <row r="30" spans="1:23" x14ac:dyDescent="0.2">
      <c r="A30" s="7" t="str">
        <f t="shared" si="0"/>
        <v>acsmacrolett/1c00758_s1</v>
      </c>
      <c r="B30" s="7" t="s">
        <v>20</v>
      </c>
      <c r="C30" s="17" t="s">
        <v>52</v>
      </c>
      <c r="D30" s="7" t="s">
        <v>22</v>
      </c>
      <c r="E30" s="7" t="s">
        <v>31</v>
      </c>
      <c r="F30" s="7" t="s">
        <v>33</v>
      </c>
      <c r="G30" s="7">
        <v>1</v>
      </c>
      <c r="H30" s="7" t="str" cm="1">
        <f t="array" ref="H30">INDEX(_xlfn.TEXTSPLIT(INDEX(_xlfn.TEXTSPLIT(C30, "/"), 5), "."), 1)</f>
        <v>acsmacrolett</v>
      </c>
      <c r="I30" s="7" t="str" cm="1">
        <f t="array" ref="I30">IF(E30="Abstract","a",LOWER(_xlfn.CONCAT(LEFT(INDEX(_xlfn.TEXTSPLIT(E30," "),1),1),INDEX(_xlfn.TEXTSPLIT(E30," "),2))))</f>
        <v>s1</v>
      </c>
      <c r="J30" s="7">
        <v>1</v>
      </c>
      <c r="K30" s="9"/>
      <c r="L30" s="10"/>
      <c r="M30" s="11"/>
      <c r="N30" s="12"/>
      <c r="O30" s="13"/>
      <c r="P30" s="14"/>
      <c r="Q30" s="21"/>
      <c r="R30" s="22"/>
      <c r="S30" s="23"/>
      <c r="T30" s="15"/>
      <c r="U30" s="16"/>
      <c r="W30" t="str">
        <f>IF(G30-J30-SUM(K30:U30),G30-J30-SUM(K30:U30),"")</f>
        <v/>
      </c>
    </row>
    <row r="31" spans="1:23" x14ac:dyDescent="0.2">
      <c r="A31" s="7" t="str">
        <f t="shared" si="0"/>
        <v>acsmacrolett/1c00776_a</v>
      </c>
      <c r="B31" s="7" t="s">
        <v>20</v>
      </c>
      <c r="C31" s="17" t="s">
        <v>53</v>
      </c>
      <c r="D31" s="7" t="s">
        <v>22</v>
      </c>
      <c r="E31" s="7" t="s">
        <v>47</v>
      </c>
      <c r="F31" s="7" t="s">
        <v>33</v>
      </c>
      <c r="G31" s="7">
        <v>1</v>
      </c>
      <c r="H31" s="7" t="str" cm="1">
        <f t="array" ref="H31">INDEX(_xlfn.TEXTSPLIT(INDEX(_xlfn.TEXTSPLIT(C31, "/"), 5), "."), 1)</f>
        <v>acsmacrolett</v>
      </c>
      <c r="I31" s="7" t="str" cm="1">
        <f t="array" ref="I31">IF(E31="Abstract","a",LOWER(_xlfn.CONCAT(LEFT(INDEX(_xlfn.TEXTSPLIT(E31," "),1),1),INDEX(_xlfn.TEXTSPLIT(E31," "),2))))</f>
        <v>a</v>
      </c>
      <c r="J31" s="7">
        <v>0</v>
      </c>
      <c r="K31" s="9"/>
      <c r="L31" s="10">
        <v>1</v>
      </c>
      <c r="M31" s="11"/>
      <c r="N31" s="12"/>
      <c r="O31" s="13"/>
      <c r="P31" s="14"/>
      <c r="Q31" s="21"/>
      <c r="R31" s="22"/>
      <c r="S31" s="23"/>
      <c r="T31" s="15"/>
      <c r="U31" s="16"/>
      <c r="W31" t="str">
        <f>IF(G31-J31-SUM(K31:U31),G31-J31-SUM(K31:U31),"")</f>
        <v/>
      </c>
    </row>
    <row r="32" spans="1:23" x14ac:dyDescent="0.2">
      <c r="A32" s="7" t="str">
        <f t="shared" si="0"/>
        <v>acsmacrolett/1c00776_f1</v>
      </c>
      <c r="B32" s="7" t="s">
        <v>20</v>
      </c>
      <c r="C32" s="17" t="s">
        <v>53</v>
      </c>
      <c r="D32" s="7" t="s">
        <v>22</v>
      </c>
      <c r="E32" s="7" t="s">
        <v>23</v>
      </c>
      <c r="F32" s="7" t="s">
        <v>33</v>
      </c>
      <c r="G32" s="7">
        <v>2</v>
      </c>
      <c r="H32" s="7" t="str" cm="1">
        <f t="array" ref="H32">INDEX(_xlfn.TEXTSPLIT(INDEX(_xlfn.TEXTSPLIT(C32, "/"), 5), "."), 1)</f>
        <v>acsmacrolett</v>
      </c>
      <c r="I32" s="7" t="str" cm="1">
        <f t="array" ref="I32">IF(E32="Abstract","a",LOWER(_xlfn.CONCAT(LEFT(INDEX(_xlfn.TEXTSPLIT(E32," "),1),1),INDEX(_xlfn.TEXTSPLIT(E32," "),2))))</f>
        <v>f1</v>
      </c>
      <c r="J32" s="7">
        <v>0</v>
      </c>
      <c r="K32" s="9"/>
      <c r="L32" s="10">
        <v>1</v>
      </c>
      <c r="M32" s="11"/>
      <c r="N32" s="12"/>
      <c r="O32" s="13">
        <v>1</v>
      </c>
      <c r="P32" s="14"/>
      <c r="Q32" s="21"/>
      <c r="R32" s="22"/>
      <c r="S32" s="23"/>
      <c r="T32" s="15"/>
      <c r="U32" s="16"/>
      <c r="W32" t="str">
        <f>IF(G32-J32-SUM(K32:U32),G32-J32-SUM(K32:U32),"")</f>
        <v/>
      </c>
    </row>
    <row r="33" spans="1:23" x14ac:dyDescent="0.2">
      <c r="A33" s="7" t="str">
        <f t="shared" si="0"/>
        <v>acsmacrolett/1c00776_f2</v>
      </c>
      <c r="B33" s="7" t="s">
        <v>20</v>
      </c>
      <c r="C33" s="17" t="s">
        <v>53</v>
      </c>
      <c r="D33" s="7" t="s">
        <v>22</v>
      </c>
      <c r="E33" s="7" t="s">
        <v>29</v>
      </c>
      <c r="F33" s="7" t="s">
        <v>33</v>
      </c>
      <c r="G33" s="7">
        <v>1</v>
      </c>
      <c r="H33" s="7" t="str" cm="1">
        <f t="array" ref="H33">INDEX(_xlfn.TEXTSPLIT(INDEX(_xlfn.TEXTSPLIT(C33, "/"), 5), "."), 1)</f>
        <v>acsmacrolett</v>
      </c>
      <c r="I33" s="7" t="str" cm="1">
        <f t="array" ref="I33">IF(E33="Abstract","a",LOWER(_xlfn.CONCAT(LEFT(INDEX(_xlfn.TEXTSPLIT(E33," "),1),1),INDEX(_xlfn.TEXTSPLIT(E33," "),2))))</f>
        <v>f2</v>
      </c>
      <c r="J33" s="7">
        <v>0</v>
      </c>
      <c r="K33" s="9"/>
      <c r="L33" s="10"/>
      <c r="M33" s="11"/>
      <c r="N33" s="12"/>
      <c r="O33" s="13"/>
      <c r="P33" s="14">
        <v>1</v>
      </c>
      <c r="Q33" s="21"/>
      <c r="R33" s="22"/>
      <c r="S33" s="23"/>
      <c r="T33" s="15"/>
      <c r="U33" s="16"/>
      <c r="W33" t="str">
        <f>IF(G33-J33-SUM(K33:U33),G33-J33-SUM(K33:U33),"")</f>
        <v/>
      </c>
    </row>
    <row r="34" spans="1:23" x14ac:dyDescent="0.2">
      <c r="A34" s="7" t="str">
        <f t="shared" si="0"/>
        <v>acsmacrolett/1c00776_f3</v>
      </c>
      <c r="B34" s="7" t="s">
        <v>20</v>
      </c>
      <c r="C34" s="17" t="s">
        <v>53</v>
      </c>
      <c r="D34" s="7" t="s">
        <v>22</v>
      </c>
      <c r="E34" s="7" t="s">
        <v>44</v>
      </c>
      <c r="F34" s="7" t="s">
        <v>33</v>
      </c>
      <c r="G34" s="7">
        <v>4</v>
      </c>
      <c r="H34" s="7" t="str" cm="1">
        <f t="array" ref="H34">INDEX(_xlfn.TEXTSPLIT(INDEX(_xlfn.TEXTSPLIT(C34, "/"), 5), "."), 1)</f>
        <v>acsmacrolett</v>
      </c>
      <c r="I34" s="7" t="str" cm="1">
        <f t="array" ref="I34">IF(E34="Abstract","a",LOWER(_xlfn.CONCAT(LEFT(INDEX(_xlfn.TEXTSPLIT(E34," "),1),1),INDEX(_xlfn.TEXTSPLIT(E34," "),2))))</f>
        <v>f3</v>
      </c>
      <c r="J34" s="7">
        <v>0</v>
      </c>
      <c r="K34" s="9"/>
      <c r="L34" s="10"/>
      <c r="M34" s="11"/>
      <c r="N34" s="12"/>
      <c r="O34" s="13"/>
      <c r="P34" s="14">
        <v>4</v>
      </c>
      <c r="Q34" s="21"/>
      <c r="R34" s="22"/>
      <c r="S34" s="23"/>
      <c r="T34" s="15"/>
      <c r="U34" s="16"/>
      <c r="W34" t="str">
        <f>IF(G34-J34-SUM(K34:U34),G34-J34-SUM(K34:U34),"")</f>
        <v/>
      </c>
    </row>
    <row r="35" spans="1:23" x14ac:dyDescent="0.2">
      <c r="A35" s="7" t="str">
        <f t="shared" si="0"/>
        <v>acsmacrolett/2c00004_f1</v>
      </c>
      <c r="B35" s="7" t="s">
        <v>20</v>
      </c>
      <c r="C35" s="17" t="s">
        <v>54</v>
      </c>
      <c r="D35" s="7" t="s">
        <v>22</v>
      </c>
      <c r="E35" s="7" t="s">
        <v>23</v>
      </c>
      <c r="F35" s="7" t="s">
        <v>33</v>
      </c>
      <c r="G35" s="7">
        <v>2</v>
      </c>
      <c r="H35" s="7" t="str" cm="1">
        <f t="array" ref="H35">INDEX(_xlfn.TEXTSPLIT(INDEX(_xlfn.TEXTSPLIT(C35, "/"), 5), "."), 1)</f>
        <v>acsmacrolett</v>
      </c>
      <c r="I35" s="7" t="str" cm="1">
        <f t="array" ref="I35">IF(E35="Abstract","a",LOWER(_xlfn.CONCAT(LEFT(INDEX(_xlfn.TEXTSPLIT(E35," "),1),1),INDEX(_xlfn.TEXTSPLIT(E35," "),2))))</f>
        <v>f1</v>
      </c>
      <c r="J35" s="7">
        <v>1</v>
      </c>
      <c r="K35" s="9">
        <v>1</v>
      </c>
      <c r="L35" s="10"/>
      <c r="M35" s="11"/>
      <c r="N35" s="12"/>
      <c r="O35" s="13"/>
      <c r="P35" s="14"/>
      <c r="Q35" s="21"/>
      <c r="R35" s="22"/>
      <c r="S35" s="23"/>
      <c r="T35" s="15"/>
      <c r="U35" s="16"/>
      <c r="W35" t="str">
        <f>IF(G35-J35-SUM(K35:U35),G35-J35-SUM(K35:U35),"")</f>
        <v/>
      </c>
    </row>
    <row r="36" spans="1:23" x14ac:dyDescent="0.2">
      <c r="A36" s="7" t="str">
        <f t="shared" si="0"/>
        <v>acsmacrolett/2c00004_s2</v>
      </c>
      <c r="B36" s="7" t="s">
        <v>20</v>
      </c>
      <c r="C36" s="17" t="s">
        <v>54</v>
      </c>
      <c r="D36" s="7" t="s">
        <v>22</v>
      </c>
      <c r="E36" s="7" t="s">
        <v>55</v>
      </c>
      <c r="F36" s="7" t="s">
        <v>33</v>
      </c>
      <c r="G36" s="7">
        <v>1</v>
      </c>
      <c r="H36" s="7" t="str" cm="1">
        <f t="array" ref="H36">INDEX(_xlfn.TEXTSPLIT(INDEX(_xlfn.TEXTSPLIT(C36, "/"), 5), "."), 1)</f>
        <v>acsmacrolett</v>
      </c>
      <c r="I36" s="7" t="str" cm="1">
        <f t="array" ref="I36">IF(E36="Abstract","a",LOWER(_xlfn.CONCAT(LEFT(INDEX(_xlfn.TEXTSPLIT(E36," "),1),1),INDEX(_xlfn.TEXTSPLIT(E36," "),2))))</f>
        <v>s2</v>
      </c>
      <c r="J36" s="7">
        <v>1</v>
      </c>
      <c r="K36" s="9"/>
      <c r="L36" s="10"/>
      <c r="M36" s="11"/>
      <c r="N36" s="12"/>
      <c r="O36" s="13"/>
      <c r="P36" s="14"/>
      <c r="Q36" s="21"/>
      <c r="R36" s="22"/>
      <c r="S36" s="23"/>
      <c r="T36" s="15"/>
      <c r="U36" s="16"/>
      <c r="W36" t="str">
        <f>IF(G36-J36-SUM(K36:U36),G36-J36-SUM(K36:U36),"")</f>
        <v/>
      </c>
    </row>
    <row r="37" spans="1:23" x14ac:dyDescent="0.2">
      <c r="A37" s="7" t="str">
        <f t="shared" si="0"/>
        <v>acsmacrolett/2c00004_s3</v>
      </c>
      <c r="B37" s="7" t="s">
        <v>20</v>
      </c>
      <c r="C37" s="17" t="s">
        <v>54</v>
      </c>
      <c r="D37" s="7" t="s">
        <v>22</v>
      </c>
      <c r="E37" s="7" t="s">
        <v>56</v>
      </c>
      <c r="F37" s="7" t="s">
        <v>33</v>
      </c>
      <c r="G37" s="7">
        <v>2</v>
      </c>
      <c r="H37" s="7" t="str" cm="1">
        <f t="array" ref="H37">INDEX(_xlfn.TEXTSPLIT(INDEX(_xlfn.TEXTSPLIT(C37, "/"), 5), "."), 1)</f>
        <v>acsmacrolett</v>
      </c>
      <c r="I37" s="7" t="str" cm="1">
        <f t="array" ref="I37">IF(E37="Abstract","a",LOWER(_xlfn.CONCAT(LEFT(INDEX(_xlfn.TEXTSPLIT(E37," "),1),1),INDEX(_xlfn.TEXTSPLIT(E37," "),2))))</f>
        <v>s3</v>
      </c>
      <c r="J37" s="7">
        <v>1</v>
      </c>
      <c r="K37" s="9">
        <v>1</v>
      </c>
      <c r="L37" s="10"/>
      <c r="M37" s="11"/>
      <c r="N37" s="12"/>
      <c r="O37" s="13"/>
      <c r="P37" s="14"/>
      <c r="Q37" s="21"/>
      <c r="R37" s="22"/>
      <c r="S37" s="23"/>
      <c r="T37" s="15"/>
      <c r="U37" s="16"/>
      <c r="W37" t="str">
        <f>IF(G37-J37-SUM(K37:U37),G37-J37-SUM(K37:U37),"")</f>
        <v/>
      </c>
    </row>
    <row r="38" spans="1:23" x14ac:dyDescent="0.2">
      <c r="A38" s="7" t="str">
        <f t="shared" si="0"/>
        <v>acsmacrolett/2c00136_f1</v>
      </c>
      <c r="B38" s="7" t="s">
        <v>20</v>
      </c>
      <c r="C38" s="17" t="s">
        <v>57</v>
      </c>
      <c r="D38" s="7" t="s">
        <v>22</v>
      </c>
      <c r="E38" s="7" t="s">
        <v>23</v>
      </c>
      <c r="F38" s="7" t="s">
        <v>40</v>
      </c>
      <c r="G38" s="7">
        <v>4</v>
      </c>
      <c r="H38" s="7" t="str" cm="1">
        <f t="array" ref="H38">INDEX(_xlfn.TEXTSPLIT(INDEX(_xlfn.TEXTSPLIT(C38, "/"), 5), "."), 1)</f>
        <v>acsmacrolett</v>
      </c>
      <c r="I38" s="7" t="str" cm="1">
        <f t="array" ref="I38">IF(E38="Abstract","a",LOWER(_xlfn.CONCAT(LEFT(INDEX(_xlfn.TEXTSPLIT(E38," "),1),1),INDEX(_xlfn.TEXTSPLIT(E38," "),2))))</f>
        <v>f1</v>
      </c>
      <c r="J38" s="7">
        <v>2</v>
      </c>
      <c r="K38" s="9"/>
      <c r="L38" s="10">
        <v>2</v>
      </c>
      <c r="M38" s="11"/>
      <c r="N38" s="12"/>
      <c r="O38" s="13"/>
      <c r="P38" s="14"/>
      <c r="Q38" s="21"/>
      <c r="R38" s="22"/>
      <c r="S38" s="23"/>
      <c r="T38" s="15"/>
      <c r="U38" s="16"/>
      <c r="W38" t="str">
        <f>IF(G38-J38-SUM(K38:U38),G38-J38-SUM(K38:U38),"")</f>
        <v/>
      </c>
    </row>
    <row r="39" spans="1:23" x14ac:dyDescent="0.2">
      <c r="A39" s="7" t="str">
        <f t="shared" si="0"/>
        <v>acsmacrolett/2c00302_f1</v>
      </c>
      <c r="B39" s="7" t="s">
        <v>20</v>
      </c>
      <c r="C39" s="17" t="s">
        <v>58</v>
      </c>
      <c r="D39" s="7" t="s">
        <v>22</v>
      </c>
      <c r="E39" s="7" t="s">
        <v>23</v>
      </c>
      <c r="F39" s="7" t="s">
        <v>40</v>
      </c>
      <c r="G39" s="7">
        <v>2</v>
      </c>
      <c r="H39" s="7" t="str" cm="1">
        <f t="array" ref="H39">INDEX(_xlfn.TEXTSPLIT(INDEX(_xlfn.TEXTSPLIT(C39, "/"), 5), "."), 1)</f>
        <v>acsmacrolett</v>
      </c>
      <c r="I39" s="7" t="str" cm="1">
        <f t="array" ref="I39">IF(E39="Abstract","a",LOWER(_xlfn.CONCAT(LEFT(INDEX(_xlfn.TEXTSPLIT(E39," "),1),1),INDEX(_xlfn.TEXTSPLIT(E39," "),2))))</f>
        <v>f1</v>
      </c>
      <c r="J39" s="7">
        <v>2</v>
      </c>
      <c r="K39" s="9"/>
      <c r="L39" s="10"/>
      <c r="M39" s="11"/>
      <c r="N39" s="12"/>
      <c r="O39" s="13"/>
      <c r="P39" s="14"/>
      <c r="Q39" s="21"/>
      <c r="R39" s="22"/>
      <c r="S39" s="23"/>
      <c r="T39" s="15"/>
      <c r="U39" s="16"/>
      <c r="W39" t="str">
        <f>IF(G39-J39-SUM(K39:U39),G39-J39-SUM(K39:U39),"")</f>
        <v/>
      </c>
    </row>
    <row r="40" spans="1:23" x14ac:dyDescent="0.2">
      <c r="A40" s="7" t="str">
        <f t="shared" si="0"/>
        <v>acsmacrolett/2c00302_f2</v>
      </c>
      <c r="B40" s="7" t="s">
        <v>20</v>
      </c>
      <c r="C40" s="17" t="s">
        <v>58</v>
      </c>
      <c r="D40" s="7" t="s">
        <v>22</v>
      </c>
      <c r="E40" s="7" t="s">
        <v>29</v>
      </c>
      <c r="F40" s="7" t="s">
        <v>40</v>
      </c>
      <c r="G40" s="7">
        <v>6</v>
      </c>
      <c r="H40" s="7" t="str" cm="1">
        <f t="array" ref="H40">INDEX(_xlfn.TEXTSPLIT(INDEX(_xlfn.TEXTSPLIT(C40, "/"), 5), "."), 1)</f>
        <v>acsmacrolett</v>
      </c>
      <c r="I40" s="7" t="str" cm="1">
        <f t="array" ref="I40">IF(E40="Abstract","a",LOWER(_xlfn.CONCAT(LEFT(INDEX(_xlfn.TEXTSPLIT(E40," "),1),1),INDEX(_xlfn.TEXTSPLIT(E40," "),2))))</f>
        <v>f2</v>
      </c>
      <c r="J40" s="7">
        <v>6</v>
      </c>
      <c r="K40" s="9"/>
      <c r="L40" s="10"/>
      <c r="M40" s="11"/>
      <c r="N40" s="12"/>
      <c r="O40" s="13"/>
      <c r="P40" s="14"/>
      <c r="Q40" s="21"/>
      <c r="R40" s="22"/>
      <c r="S40" s="23"/>
      <c r="T40" s="15"/>
      <c r="U40" s="16"/>
      <c r="W40" t="str">
        <f>IF(G40-J40-SUM(K40:U40),G40-J40-SUM(K40:U40),"")</f>
        <v/>
      </c>
    </row>
    <row r="41" spans="1:23" x14ac:dyDescent="0.2">
      <c r="A41" s="7" t="str">
        <f t="shared" si="0"/>
        <v>acsmacrolett/2c00302_s1</v>
      </c>
      <c r="B41" s="7" t="s">
        <v>20</v>
      </c>
      <c r="C41" s="17" t="s">
        <v>58</v>
      </c>
      <c r="D41" s="7" t="s">
        <v>22</v>
      </c>
      <c r="E41" s="7" t="s">
        <v>31</v>
      </c>
      <c r="F41" s="7" t="s">
        <v>40</v>
      </c>
      <c r="G41" s="7">
        <v>1</v>
      </c>
      <c r="H41" s="7" t="str" cm="1">
        <f t="array" ref="H41">INDEX(_xlfn.TEXTSPLIT(INDEX(_xlfn.TEXTSPLIT(C41, "/"), 5), "."), 1)</f>
        <v>acsmacrolett</v>
      </c>
      <c r="I41" s="7" t="str" cm="1">
        <f t="array" ref="I41">IF(E41="Abstract","a",LOWER(_xlfn.CONCAT(LEFT(INDEX(_xlfn.TEXTSPLIT(E41," "),1),1),INDEX(_xlfn.TEXTSPLIT(E41," "),2))))</f>
        <v>s1</v>
      </c>
      <c r="J41" s="7">
        <v>1</v>
      </c>
      <c r="K41" s="9"/>
      <c r="L41" s="10"/>
      <c r="M41" s="11"/>
      <c r="N41" s="12"/>
      <c r="O41" s="13"/>
      <c r="P41" s="14"/>
      <c r="Q41" s="21"/>
      <c r="R41" s="22"/>
      <c r="S41" s="23"/>
      <c r="T41" s="15"/>
      <c r="U41" s="16"/>
      <c r="W41" t="str">
        <f>IF(G41-J41-SUM(K41:U41),G41-J41-SUM(K41:U41),"")</f>
        <v/>
      </c>
    </row>
    <row r="42" spans="1:23" s="6" customFormat="1" x14ac:dyDescent="0.2">
      <c r="A42" s="8" t="str">
        <f t="shared" si="0"/>
        <v>acsmacrolett/2c00359_f1</v>
      </c>
      <c r="B42" s="8" t="s">
        <v>20</v>
      </c>
      <c r="C42" s="20" t="s">
        <v>59</v>
      </c>
      <c r="D42" s="8" t="s">
        <v>22</v>
      </c>
      <c r="E42" s="8" t="s">
        <v>23</v>
      </c>
      <c r="F42" s="8" t="s">
        <v>33</v>
      </c>
      <c r="G42" s="8">
        <v>2</v>
      </c>
      <c r="H42" s="8" t="str" cm="1">
        <f t="array" ref="H42">INDEX(_xlfn.TEXTSPLIT(INDEX(_xlfn.TEXTSPLIT(C42, "/"), 5), "."), 1)</f>
        <v>acsmacrolett</v>
      </c>
      <c r="I42" s="8" t="str" cm="1">
        <f t="array" ref="I42">IF(E42="Abstract","a",LOWER(_xlfn.CONCAT(LEFT(INDEX(_xlfn.TEXTSPLIT(E42," "),1),1),INDEX(_xlfn.TEXTSPLIT(E42," "),2))))</f>
        <v>f1</v>
      </c>
      <c r="J42" s="8">
        <v>1</v>
      </c>
      <c r="K42" s="9"/>
      <c r="L42" s="10"/>
      <c r="M42" s="11"/>
      <c r="N42" s="12"/>
      <c r="O42" s="13"/>
      <c r="P42" s="14"/>
      <c r="Q42" s="21"/>
      <c r="R42" s="22"/>
      <c r="S42" s="23"/>
      <c r="T42" s="15"/>
      <c r="U42" s="16">
        <v>1</v>
      </c>
      <c r="W42" s="6" t="str">
        <f>IF(G42-J42-SUM(K42:U42),G42-J42-SUM(K42:U42),"")</f>
        <v/>
      </c>
    </row>
    <row r="43" spans="1:23" x14ac:dyDescent="0.2">
      <c r="A43" s="7" t="str">
        <f t="shared" si="0"/>
        <v>acsmacrolett/2c00455_f1</v>
      </c>
      <c r="B43" s="7" t="s">
        <v>20</v>
      </c>
      <c r="C43" s="17" t="s">
        <v>60</v>
      </c>
      <c r="D43" s="7" t="s">
        <v>22</v>
      </c>
      <c r="E43" s="7" t="s">
        <v>23</v>
      </c>
      <c r="F43" s="7" t="s">
        <v>33</v>
      </c>
      <c r="G43" s="7">
        <v>1</v>
      </c>
      <c r="H43" s="7" t="str" cm="1">
        <f t="array" ref="H43">INDEX(_xlfn.TEXTSPLIT(INDEX(_xlfn.TEXTSPLIT(C43, "/"), 5), "."), 1)</f>
        <v>acsmacrolett</v>
      </c>
      <c r="I43" s="7" t="str" cm="1">
        <f t="array" ref="I43">IF(E43="Abstract","a",LOWER(_xlfn.CONCAT(LEFT(INDEX(_xlfn.TEXTSPLIT(E43," "),1),1),INDEX(_xlfn.TEXTSPLIT(E43," "),2))))</f>
        <v>f1</v>
      </c>
      <c r="J43" s="7">
        <v>0</v>
      </c>
      <c r="K43" s="9"/>
      <c r="L43" s="10"/>
      <c r="M43" s="11"/>
      <c r="N43" s="12">
        <v>1</v>
      </c>
      <c r="O43" s="13"/>
      <c r="P43" s="14"/>
      <c r="Q43" s="21"/>
      <c r="R43" s="22"/>
      <c r="S43" s="23"/>
      <c r="T43" s="15"/>
      <c r="U43" s="16"/>
      <c r="W43" t="str">
        <f>IF(G43-J43-SUM(K43:U43),G43-J43-SUM(K43:U43),"")</f>
        <v/>
      </c>
    </row>
    <row r="44" spans="1:23" x14ac:dyDescent="0.2">
      <c r="A44" s="7" t="str">
        <f t="shared" si="0"/>
        <v>acsmacrolett/2c00506_f1</v>
      </c>
      <c r="B44" s="7" t="s">
        <v>20</v>
      </c>
      <c r="C44" s="17" t="s">
        <v>61</v>
      </c>
      <c r="D44" s="7" t="s">
        <v>22</v>
      </c>
      <c r="E44" s="7" t="s">
        <v>23</v>
      </c>
      <c r="F44" s="7" t="s">
        <v>40</v>
      </c>
      <c r="G44" s="7">
        <v>3</v>
      </c>
      <c r="H44" s="7" t="str" cm="1">
        <f t="array" ref="H44">INDEX(_xlfn.TEXTSPLIT(INDEX(_xlfn.TEXTSPLIT(C44, "/"), 5), "."), 1)</f>
        <v>acsmacrolett</v>
      </c>
      <c r="I44" s="7" t="str" cm="1">
        <f t="array" ref="I44">IF(E44="Abstract","a",LOWER(_xlfn.CONCAT(LEFT(INDEX(_xlfn.TEXTSPLIT(E44," "),1),1),INDEX(_xlfn.TEXTSPLIT(E44," "),2))))</f>
        <v>f1</v>
      </c>
      <c r="J44" s="7">
        <v>3</v>
      </c>
      <c r="K44" s="9"/>
      <c r="L44" s="10"/>
      <c r="M44" s="11"/>
      <c r="N44" s="12"/>
      <c r="O44" s="13"/>
      <c r="P44" s="14"/>
      <c r="Q44" s="21"/>
      <c r="R44" s="22"/>
      <c r="S44" s="23"/>
      <c r="T44" s="15"/>
      <c r="U44" s="16"/>
      <c r="W44" t="str">
        <f>IF(G44-J44-SUM(K44:U44),G44-J44-SUM(K44:U44),"")</f>
        <v/>
      </c>
    </row>
    <row r="45" spans="1:23" x14ac:dyDescent="0.2">
      <c r="A45" s="7" t="str">
        <f t="shared" si="0"/>
        <v>acsmacrolett/2c00506_f4</v>
      </c>
      <c r="B45" s="7" t="s">
        <v>20</v>
      </c>
      <c r="C45" s="17" t="s">
        <v>61</v>
      </c>
      <c r="D45" s="7" t="s">
        <v>22</v>
      </c>
      <c r="E45" s="7" t="s">
        <v>42</v>
      </c>
      <c r="F45" s="7" t="s">
        <v>40</v>
      </c>
      <c r="G45" s="7">
        <v>3</v>
      </c>
      <c r="H45" s="7" t="str" cm="1">
        <f t="array" ref="H45">INDEX(_xlfn.TEXTSPLIT(INDEX(_xlfn.TEXTSPLIT(C45, "/"), 5), "."), 1)</f>
        <v>acsmacrolett</v>
      </c>
      <c r="I45" s="7" t="str" cm="1">
        <f t="array" ref="I45">IF(E45="Abstract","a",LOWER(_xlfn.CONCAT(LEFT(INDEX(_xlfn.TEXTSPLIT(E45," "),1),1),INDEX(_xlfn.TEXTSPLIT(E45," "),2))))</f>
        <v>f4</v>
      </c>
      <c r="J45" s="7">
        <v>3</v>
      </c>
      <c r="K45" s="9"/>
      <c r="L45" s="10"/>
      <c r="M45" s="11"/>
      <c r="N45" s="12"/>
      <c r="O45" s="13"/>
      <c r="P45" s="14"/>
      <c r="Q45" s="21"/>
      <c r="R45" s="22"/>
      <c r="S45" s="23"/>
      <c r="T45" s="15"/>
      <c r="U45" s="16"/>
      <c r="W45" t="str">
        <f>IF(G45-J45-SUM(K45:U45),G45-J45-SUM(K45:U45),"")</f>
        <v/>
      </c>
    </row>
    <row r="46" spans="1:23" x14ac:dyDescent="0.2">
      <c r="A46" s="7" t="str">
        <f t="shared" si="0"/>
        <v>acsmacrolett/2c00672_f3</v>
      </c>
      <c r="B46" s="7" t="s">
        <v>20</v>
      </c>
      <c r="C46" s="17" t="s">
        <v>62</v>
      </c>
      <c r="D46" s="7" t="s">
        <v>22</v>
      </c>
      <c r="E46" s="7" t="s">
        <v>44</v>
      </c>
      <c r="F46" s="7" t="s">
        <v>33</v>
      </c>
      <c r="G46" s="7">
        <v>3</v>
      </c>
      <c r="H46" s="7" t="str" cm="1">
        <f t="array" ref="H46">INDEX(_xlfn.TEXTSPLIT(INDEX(_xlfn.TEXTSPLIT(C46, "/"), 5), "."), 1)</f>
        <v>acsmacrolett</v>
      </c>
      <c r="I46" s="7" t="str" cm="1">
        <f t="array" ref="I46">IF(E46="Abstract","a",LOWER(_xlfn.CONCAT(LEFT(INDEX(_xlfn.TEXTSPLIT(E46," "),1),1),INDEX(_xlfn.TEXTSPLIT(E46," "),2))))</f>
        <v>f3</v>
      </c>
      <c r="J46" s="7">
        <v>0</v>
      </c>
      <c r="K46" s="9"/>
      <c r="L46" s="10"/>
      <c r="M46" s="11">
        <v>3</v>
      </c>
      <c r="N46" s="12"/>
      <c r="O46" s="13"/>
      <c r="P46" s="14"/>
      <c r="Q46" s="21"/>
      <c r="R46" s="22"/>
      <c r="S46" s="23"/>
      <c r="T46" s="15"/>
      <c r="U46" s="16"/>
      <c r="W46" t="str">
        <f>IF(G46-J46-SUM(K46:U46),G46-J46-SUM(K46:U46),"")</f>
        <v/>
      </c>
    </row>
    <row r="47" spans="1:23" x14ac:dyDescent="0.2">
      <c r="A47" s="7" t="str">
        <f t="shared" si="0"/>
        <v>acsmacrolett/2c00672_s1</v>
      </c>
      <c r="B47" s="7" t="s">
        <v>20</v>
      </c>
      <c r="C47" s="17" t="s">
        <v>62</v>
      </c>
      <c r="D47" s="7" t="s">
        <v>22</v>
      </c>
      <c r="E47" s="7" t="s">
        <v>31</v>
      </c>
      <c r="F47" s="7" t="s">
        <v>33</v>
      </c>
      <c r="G47" s="7">
        <v>3</v>
      </c>
      <c r="H47" s="7" t="str" cm="1">
        <f t="array" ref="H47">INDEX(_xlfn.TEXTSPLIT(INDEX(_xlfn.TEXTSPLIT(C47, "/"), 5), "."), 1)</f>
        <v>acsmacrolett</v>
      </c>
      <c r="I47" s="7" t="str" cm="1">
        <f t="array" ref="I47">IF(E47="Abstract","a",LOWER(_xlfn.CONCAT(LEFT(INDEX(_xlfn.TEXTSPLIT(E47," "),1),1),INDEX(_xlfn.TEXTSPLIT(E47," "),2))))</f>
        <v>s1</v>
      </c>
      <c r="J47" s="7">
        <v>2</v>
      </c>
      <c r="K47" s="9"/>
      <c r="L47" s="10"/>
      <c r="M47" s="11">
        <v>1</v>
      </c>
      <c r="N47" s="12"/>
      <c r="O47" s="13"/>
      <c r="P47" s="14"/>
      <c r="Q47" s="21"/>
      <c r="R47" s="22"/>
      <c r="S47" s="23"/>
      <c r="T47" s="15"/>
      <c r="U47" s="16"/>
      <c r="W47" t="str">
        <f>IF(G47-J47-SUM(K47:U47),G47-J47-SUM(K47:U47),"")</f>
        <v/>
      </c>
    </row>
    <row r="48" spans="1:23" x14ac:dyDescent="0.2">
      <c r="A48" s="7" t="str">
        <f t="shared" si="0"/>
        <v>acsmacrolett/2c00699_a</v>
      </c>
      <c r="B48" s="7" t="s">
        <v>20</v>
      </c>
      <c r="C48" s="17" t="s">
        <v>63</v>
      </c>
      <c r="D48" s="7" t="s">
        <v>22</v>
      </c>
      <c r="E48" s="7" t="s">
        <v>47</v>
      </c>
      <c r="F48" s="7" t="s">
        <v>33</v>
      </c>
      <c r="G48" s="7">
        <v>1</v>
      </c>
      <c r="H48" s="7" t="str" cm="1">
        <f t="array" ref="H48">INDEX(_xlfn.TEXTSPLIT(INDEX(_xlfn.TEXTSPLIT(C48, "/"), 5), "."), 1)</f>
        <v>acsmacrolett</v>
      </c>
      <c r="I48" s="7" t="str" cm="1">
        <f t="array" ref="I48">IF(E48="Abstract","a",LOWER(_xlfn.CONCAT(LEFT(INDEX(_xlfn.TEXTSPLIT(E48," "),1),1),INDEX(_xlfn.TEXTSPLIT(E48," "),2))))</f>
        <v>a</v>
      </c>
      <c r="J48" s="7">
        <v>1</v>
      </c>
      <c r="K48" s="9"/>
      <c r="L48" s="10"/>
      <c r="M48" s="11"/>
      <c r="N48" s="12"/>
      <c r="O48" s="13"/>
      <c r="P48" s="14"/>
      <c r="Q48" s="21"/>
      <c r="R48" s="22"/>
      <c r="S48" s="23"/>
      <c r="T48" s="15"/>
      <c r="U48" s="16"/>
      <c r="W48" t="str">
        <f>IF(G48-J48-SUM(K48:U48),G48-J48-SUM(K48:U48),"")</f>
        <v/>
      </c>
    </row>
    <row r="49" spans="1:23" x14ac:dyDescent="0.2">
      <c r="A49" s="7" t="str">
        <f t="shared" si="0"/>
        <v>acsmacrolett/2c00699_f2</v>
      </c>
      <c r="B49" s="7" t="s">
        <v>20</v>
      </c>
      <c r="C49" s="17" t="s">
        <v>63</v>
      </c>
      <c r="D49" s="7" t="s">
        <v>22</v>
      </c>
      <c r="E49" s="7" t="s">
        <v>29</v>
      </c>
      <c r="F49" s="7" t="s">
        <v>33</v>
      </c>
      <c r="G49" s="7">
        <v>1</v>
      </c>
      <c r="H49" s="7" t="str" cm="1">
        <f t="array" ref="H49">INDEX(_xlfn.TEXTSPLIT(INDEX(_xlfn.TEXTSPLIT(C49, "/"), 5), "."), 1)</f>
        <v>acsmacrolett</v>
      </c>
      <c r="I49" s="7" t="str" cm="1">
        <f t="array" ref="I49">IF(E49="Abstract","a",LOWER(_xlfn.CONCAT(LEFT(INDEX(_xlfn.TEXTSPLIT(E49," "),1),1),INDEX(_xlfn.TEXTSPLIT(E49," "),2))))</f>
        <v>f2</v>
      </c>
      <c r="J49" s="7">
        <v>1</v>
      </c>
      <c r="K49" s="9"/>
      <c r="L49" s="10"/>
      <c r="M49" s="11"/>
      <c r="N49" s="12"/>
      <c r="O49" s="13"/>
      <c r="P49" s="14"/>
      <c r="Q49" s="21"/>
      <c r="R49" s="22"/>
      <c r="S49" s="23"/>
      <c r="T49" s="15"/>
      <c r="U49" s="16"/>
      <c r="W49" t="str">
        <f>IF(G49-J49-SUM(K49:U49),G49-J49-SUM(K49:U49),"")</f>
        <v/>
      </c>
    </row>
    <row r="50" spans="1:23" x14ac:dyDescent="0.2">
      <c r="A50" s="7" t="str">
        <f t="shared" si="0"/>
        <v>acsmacrolett/2c00701_f2</v>
      </c>
      <c r="B50" s="7" t="s">
        <v>20</v>
      </c>
      <c r="C50" s="17" t="s">
        <v>64</v>
      </c>
      <c r="D50" s="7" t="s">
        <v>22</v>
      </c>
      <c r="E50" s="7" t="s">
        <v>29</v>
      </c>
      <c r="F50" s="7" t="s">
        <v>33</v>
      </c>
      <c r="G50" s="7">
        <v>6</v>
      </c>
      <c r="H50" s="7" t="str" cm="1">
        <f t="array" ref="H50">INDEX(_xlfn.TEXTSPLIT(INDEX(_xlfn.TEXTSPLIT(C50, "/"), 5), "."), 1)</f>
        <v>acsmacrolett</v>
      </c>
      <c r="I50" s="7" t="str" cm="1">
        <f t="array" ref="I50">IF(E50="Abstract","a",LOWER(_xlfn.CONCAT(LEFT(INDEX(_xlfn.TEXTSPLIT(E50," "),1),1),INDEX(_xlfn.TEXTSPLIT(E50," "),2))))</f>
        <v>f2</v>
      </c>
      <c r="J50" s="7">
        <v>6</v>
      </c>
      <c r="K50" s="9"/>
      <c r="L50" s="10"/>
      <c r="M50" s="11"/>
      <c r="N50" s="12"/>
      <c r="O50" s="13"/>
      <c r="P50" s="14"/>
      <c r="Q50" s="21"/>
      <c r="R50" s="22"/>
      <c r="S50" s="23"/>
      <c r="T50" s="15"/>
      <c r="U50" s="16"/>
      <c r="W50" t="str">
        <f>IF(G50-J50-SUM(K50:U50),G50-J50-SUM(K50:U50),"")</f>
        <v/>
      </c>
    </row>
    <row r="51" spans="1:23" x14ac:dyDescent="0.2">
      <c r="A51" s="7" t="str">
        <f t="shared" si="0"/>
        <v>acsmacrolett/2c00737_f2</v>
      </c>
      <c r="B51" s="7" t="s">
        <v>20</v>
      </c>
      <c r="C51" s="17" t="s">
        <v>65</v>
      </c>
      <c r="D51" s="7" t="s">
        <v>22</v>
      </c>
      <c r="E51" s="7" t="s">
        <v>29</v>
      </c>
      <c r="F51" s="7" t="s">
        <v>33</v>
      </c>
      <c r="G51" s="7">
        <v>2</v>
      </c>
      <c r="H51" s="7" t="str" cm="1">
        <f t="array" ref="H51">INDEX(_xlfn.TEXTSPLIT(INDEX(_xlfn.TEXTSPLIT(C51, "/"), 5), "."), 1)</f>
        <v>acsmacrolett</v>
      </c>
      <c r="I51" s="7" t="str" cm="1">
        <f t="array" ref="I51">IF(E51="Abstract","a",LOWER(_xlfn.CONCAT(LEFT(INDEX(_xlfn.TEXTSPLIT(E51," "),1),1),INDEX(_xlfn.TEXTSPLIT(E51," "),2))))</f>
        <v>f2</v>
      </c>
      <c r="J51" s="7">
        <v>2</v>
      </c>
      <c r="K51" s="9"/>
      <c r="L51" s="10"/>
      <c r="M51" s="11"/>
      <c r="N51" s="12"/>
      <c r="O51" s="13"/>
      <c r="P51" s="14"/>
      <c r="Q51" s="21"/>
      <c r="R51" s="22"/>
      <c r="S51" s="23"/>
      <c r="T51" s="15"/>
      <c r="U51" s="16"/>
      <c r="W51" t="str">
        <f>IF(G51-J51-SUM(K51:U51),G51-J51-SUM(K51:U51),"")</f>
        <v/>
      </c>
    </row>
    <row r="52" spans="1:23" x14ac:dyDescent="0.2">
      <c r="A52" s="7" t="str">
        <f t="shared" si="0"/>
        <v>acsmacrolett/2c00737_s1</v>
      </c>
      <c r="B52" s="7" t="s">
        <v>20</v>
      </c>
      <c r="C52" s="17" t="s">
        <v>65</v>
      </c>
      <c r="D52" s="7" t="s">
        <v>22</v>
      </c>
      <c r="E52" s="7" t="s">
        <v>31</v>
      </c>
      <c r="F52" s="7" t="s">
        <v>33</v>
      </c>
      <c r="G52" s="7">
        <v>3</v>
      </c>
      <c r="H52" s="7" t="str" cm="1">
        <f t="array" ref="H52">INDEX(_xlfn.TEXTSPLIT(INDEX(_xlfn.TEXTSPLIT(C52, "/"), 5), "."), 1)</f>
        <v>acsmacrolett</v>
      </c>
      <c r="I52" s="7" t="str" cm="1">
        <f t="array" ref="I52">IF(E52="Abstract","a",LOWER(_xlfn.CONCAT(LEFT(INDEX(_xlfn.TEXTSPLIT(E52," "),1),1),INDEX(_xlfn.TEXTSPLIT(E52," "),2))))</f>
        <v>s1</v>
      </c>
      <c r="J52" s="7">
        <v>3</v>
      </c>
      <c r="K52" s="9"/>
      <c r="L52" s="10"/>
      <c r="M52" s="11"/>
      <c r="N52" s="12"/>
      <c r="O52" s="13"/>
      <c r="P52" s="14"/>
      <c r="Q52" s="21"/>
      <c r="R52" s="22"/>
      <c r="S52" s="23"/>
      <c r="T52" s="15"/>
      <c r="U52" s="16"/>
      <c r="W52" t="str">
        <f>IF(G52-J52-SUM(K52:U52),G52-J52-SUM(K52:U52),"")</f>
        <v/>
      </c>
    </row>
    <row r="53" spans="1:23" x14ac:dyDescent="0.2">
      <c r="A53" s="7" t="str">
        <f t="shared" si="0"/>
        <v>acsmacrolett/2c00743_s1</v>
      </c>
      <c r="B53" s="7" t="s">
        <v>20</v>
      </c>
      <c r="C53" s="17" t="s">
        <v>66</v>
      </c>
      <c r="D53" s="7" t="s">
        <v>22</v>
      </c>
      <c r="E53" s="7" t="s">
        <v>31</v>
      </c>
      <c r="F53" s="7" t="s">
        <v>33</v>
      </c>
      <c r="G53" s="7">
        <v>2</v>
      </c>
      <c r="H53" s="7" t="str" cm="1">
        <f t="array" ref="H53">INDEX(_xlfn.TEXTSPLIT(INDEX(_xlfn.TEXTSPLIT(C53, "/"), 5), "."), 1)</f>
        <v>acsmacrolett</v>
      </c>
      <c r="I53" s="7" t="str" cm="1">
        <f t="array" ref="I53">IF(E53="Abstract","a",LOWER(_xlfn.CONCAT(LEFT(INDEX(_xlfn.TEXTSPLIT(E53," "),1),1),INDEX(_xlfn.TEXTSPLIT(E53," "),2))))</f>
        <v>s1</v>
      </c>
      <c r="J53" s="7">
        <v>2</v>
      </c>
      <c r="K53" s="9"/>
      <c r="L53" s="10"/>
      <c r="M53" s="11"/>
      <c r="N53" s="12"/>
      <c r="O53" s="13"/>
      <c r="P53" s="14"/>
      <c r="Q53" s="21"/>
      <c r="R53" s="22"/>
      <c r="S53" s="23"/>
      <c r="T53" s="15"/>
      <c r="U53" s="16"/>
      <c r="W53" t="str">
        <f>IF(G53-J53-SUM(K53:U53),G53-J53-SUM(K53:U53),"")</f>
        <v/>
      </c>
    </row>
    <row r="54" spans="1:23" x14ac:dyDescent="0.2">
      <c r="A54" s="7" t="str">
        <f t="shared" si="0"/>
        <v>acsmacrolett/3c00021_c1</v>
      </c>
      <c r="B54" s="7" t="s">
        <v>20</v>
      </c>
      <c r="C54" s="17" t="s">
        <v>67</v>
      </c>
      <c r="D54" s="7" t="s">
        <v>22</v>
      </c>
      <c r="E54" s="7" t="s">
        <v>68</v>
      </c>
      <c r="F54" s="7" t="s">
        <v>40</v>
      </c>
      <c r="G54" s="7">
        <v>1</v>
      </c>
      <c r="H54" s="7" t="str" cm="1">
        <f t="array" ref="H54">INDEX(_xlfn.TEXTSPLIT(INDEX(_xlfn.TEXTSPLIT(C54, "/"), 5), "."), 1)</f>
        <v>acsmacrolett</v>
      </c>
      <c r="I54" s="7" t="str" cm="1">
        <f t="array" ref="I54">IF(E54="Abstract","a",LOWER(_xlfn.CONCAT(LEFT(INDEX(_xlfn.TEXTSPLIT(E54," "),1),1),INDEX(_xlfn.TEXTSPLIT(E54," "),2))))</f>
        <v>c1</v>
      </c>
      <c r="J54" s="7">
        <v>0</v>
      </c>
      <c r="K54" s="9">
        <v>1</v>
      </c>
      <c r="L54" s="10"/>
      <c r="M54" s="11"/>
      <c r="N54" s="12"/>
      <c r="O54" s="13"/>
      <c r="P54" s="14"/>
      <c r="Q54" s="21"/>
      <c r="R54" s="22"/>
      <c r="S54" s="23"/>
      <c r="T54" s="15"/>
      <c r="U54" s="16"/>
      <c r="W54" t="str">
        <f>IF(G54-J54-SUM(K54:U54),G54-J54-SUM(K54:U54),"")</f>
        <v/>
      </c>
    </row>
    <row r="55" spans="1:23" x14ac:dyDescent="0.2">
      <c r="A55" s="7" t="str">
        <f t="shared" si="0"/>
        <v>acsmacrolett/3c00044_f1</v>
      </c>
      <c r="B55" s="7" t="s">
        <v>20</v>
      </c>
      <c r="C55" s="17" t="s">
        <v>69</v>
      </c>
      <c r="D55" s="7" t="s">
        <v>22</v>
      </c>
      <c r="E55" s="7" t="s">
        <v>23</v>
      </c>
      <c r="F55" s="7" t="s">
        <v>40</v>
      </c>
      <c r="G55" s="7">
        <v>1</v>
      </c>
      <c r="H55" s="7" t="str" cm="1">
        <f t="array" ref="H55">INDEX(_xlfn.TEXTSPLIT(INDEX(_xlfn.TEXTSPLIT(C55, "/"), 5), "."), 1)</f>
        <v>acsmacrolett</v>
      </c>
      <c r="I55" s="7" t="str" cm="1">
        <f t="array" ref="I55">IF(E55="Abstract","a",LOWER(_xlfn.CONCAT(LEFT(INDEX(_xlfn.TEXTSPLIT(E55," "),1),1),INDEX(_xlfn.TEXTSPLIT(E55," "),2))))</f>
        <v>f1</v>
      </c>
      <c r="J55" s="7"/>
      <c r="K55" s="9"/>
      <c r="L55" s="10"/>
      <c r="M55" s="11"/>
      <c r="N55" s="12"/>
      <c r="O55" s="13"/>
      <c r="P55" s="14"/>
      <c r="Q55" s="21"/>
      <c r="R55" s="22">
        <v>1</v>
      </c>
      <c r="S55" s="23"/>
      <c r="T55" s="15"/>
      <c r="U55" s="16"/>
      <c r="W55" t="str">
        <f>IF(G55-J55-SUM(K55:U55),G55-J55-SUM(K55:U55),"")</f>
        <v/>
      </c>
    </row>
    <row r="56" spans="1:23" x14ac:dyDescent="0.2">
      <c r="A56" s="7" t="str">
        <f t="shared" si="0"/>
        <v>acsmacrolett/3c00055_f1</v>
      </c>
      <c r="B56" s="7" t="s">
        <v>20</v>
      </c>
      <c r="C56" s="17" t="s">
        <v>70</v>
      </c>
      <c r="D56" s="7" t="s">
        <v>22</v>
      </c>
      <c r="E56" s="7" t="s">
        <v>23</v>
      </c>
      <c r="F56" s="7" t="s">
        <v>33</v>
      </c>
      <c r="G56" s="7">
        <v>1</v>
      </c>
      <c r="H56" s="7" t="str" cm="1">
        <f t="array" ref="H56">INDEX(_xlfn.TEXTSPLIT(INDEX(_xlfn.TEXTSPLIT(C56, "/"), 5), "."), 1)</f>
        <v>acsmacrolett</v>
      </c>
      <c r="I56" s="7" t="str" cm="1">
        <f t="array" ref="I56">IF(E56="Abstract","a",LOWER(_xlfn.CONCAT(LEFT(INDEX(_xlfn.TEXTSPLIT(E56," "),1),1),INDEX(_xlfn.TEXTSPLIT(E56," "),2))))</f>
        <v>f1</v>
      </c>
      <c r="J56" s="7"/>
      <c r="K56" s="9"/>
      <c r="L56" s="10"/>
      <c r="M56" s="11"/>
      <c r="N56" s="12"/>
      <c r="O56" s="13"/>
      <c r="P56" s="14"/>
      <c r="Q56" s="21"/>
      <c r="R56" s="22"/>
      <c r="S56" s="23"/>
      <c r="T56" s="15">
        <v>1</v>
      </c>
      <c r="U56" s="16"/>
      <c r="W56" t="str">
        <f>IF(G56-J56-SUM(K56:U56),G56-J56-SUM(K56:U56),"")</f>
        <v/>
      </c>
    </row>
    <row r="57" spans="1:23" x14ac:dyDescent="0.2">
      <c r="A57" s="7" t="str">
        <f t="shared" si="0"/>
        <v>acsmacrolett/3c00208_f1</v>
      </c>
      <c r="B57" s="7" t="s">
        <v>20</v>
      </c>
      <c r="C57" s="17" t="s">
        <v>71</v>
      </c>
      <c r="D57" s="7" t="s">
        <v>22</v>
      </c>
      <c r="E57" s="7" t="s">
        <v>23</v>
      </c>
      <c r="F57" s="7" t="s">
        <v>33</v>
      </c>
      <c r="G57" s="7">
        <v>2</v>
      </c>
      <c r="H57" s="7" t="str" cm="1">
        <f t="array" ref="H57">INDEX(_xlfn.TEXTSPLIT(INDEX(_xlfn.TEXTSPLIT(C57, "/"), 5), "."), 1)</f>
        <v>acsmacrolett</v>
      </c>
      <c r="I57" s="7" t="str" cm="1">
        <f t="array" ref="I57">IF(E57="Abstract","a",LOWER(_xlfn.CONCAT(LEFT(INDEX(_xlfn.TEXTSPLIT(E57," "),1),1),INDEX(_xlfn.TEXTSPLIT(E57," "),2))))</f>
        <v>f1</v>
      </c>
      <c r="J57" s="7"/>
      <c r="K57" s="9"/>
      <c r="L57" s="10"/>
      <c r="M57" s="11"/>
      <c r="N57" s="12">
        <v>2</v>
      </c>
      <c r="O57" s="13"/>
      <c r="P57" s="14"/>
      <c r="Q57" s="21"/>
      <c r="R57" s="22"/>
      <c r="S57" s="23"/>
      <c r="T57" s="15"/>
      <c r="U57" s="16"/>
      <c r="W57" t="str">
        <f>IF(G57-J57-SUM(K57:U57),G57-J57-SUM(K57:U57),"")</f>
        <v/>
      </c>
    </row>
    <row r="58" spans="1:23" x14ac:dyDescent="0.2">
      <c r="A58" s="7" t="str">
        <f t="shared" si="0"/>
        <v>acsmacrolett/3c00217_f1</v>
      </c>
      <c r="B58" s="7" t="s">
        <v>20</v>
      </c>
      <c r="C58" s="17" t="s">
        <v>72</v>
      </c>
      <c r="D58" s="7" t="s">
        <v>22</v>
      </c>
      <c r="E58" s="7" t="s">
        <v>23</v>
      </c>
      <c r="F58" s="7" t="s">
        <v>33</v>
      </c>
      <c r="G58" s="7">
        <v>2</v>
      </c>
      <c r="H58" s="7" t="str" cm="1">
        <f t="array" ref="H58">INDEX(_xlfn.TEXTSPLIT(INDEX(_xlfn.TEXTSPLIT(C58, "/"), 5), "."), 1)</f>
        <v>acsmacrolett</v>
      </c>
      <c r="I58" s="7" t="str" cm="1">
        <f t="array" ref="I58">IF(E58="Abstract","a",LOWER(_xlfn.CONCAT(LEFT(INDEX(_xlfn.TEXTSPLIT(E58," "),1),1),INDEX(_xlfn.TEXTSPLIT(E58," "),2))))</f>
        <v>f1</v>
      </c>
      <c r="J58" s="7">
        <v>2</v>
      </c>
      <c r="K58" s="9"/>
      <c r="L58" s="10"/>
      <c r="M58" s="11"/>
      <c r="N58" s="12"/>
      <c r="O58" s="13"/>
      <c r="P58" s="14"/>
      <c r="Q58" s="21"/>
      <c r="R58" s="22"/>
      <c r="S58" s="23"/>
      <c r="T58" s="15"/>
      <c r="U58" s="16"/>
      <c r="W58" t="str">
        <f>IF(G58-J58-SUM(K58:U58),G58-J58-SUM(K58:U58),"")</f>
        <v/>
      </c>
    </row>
    <row r="59" spans="1:23" x14ac:dyDescent="0.2">
      <c r="A59" s="7" t="str">
        <f t="shared" si="0"/>
        <v>acsmacrolett/3c00276_f3</v>
      </c>
      <c r="B59" s="7" t="s">
        <v>20</v>
      </c>
      <c r="C59" s="17" t="s">
        <v>73</v>
      </c>
      <c r="D59" s="7" t="s">
        <v>22</v>
      </c>
      <c r="E59" s="7" t="s">
        <v>44</v>
      </c>
      <c r="F59" s="7" t="s">
        <v>40</v>
      </c>
      <c r="G59" s="7">
        <v>2</v>
      </c>
      <c r="H59" s="7" t="str" cm="1">
        <f t="array" ref="H59">INDEX(_xlfn.TEXTSPLIT(INDEX(_xlfn.TEXTSPLIT(C59, "/"), 5), "."), 1)</f>
        <v>acsmacrolett</v>
      </c>
      <c r="I59" s="7" t="str" cm="1">
        <f t="array" ref="I59">IF(E59="Abstract","a",LOWER(_xlfn.CONCAT(LEFT(INDEX(_xlfn.TEXTSPLIT(E59," "),1),1),INDEX(_xlfn.TEXTSPLIT(E59," "),2))))</f>
        <v>f3</v>
      </c>
      <c r="J59" s="7"/>
      <c r="K59" s="9"/>
      <c r="L59" s="10"/>
      <c r="M59" s="11"/>
      <c r="N59" s="12">
        <v>2</v>
      </c>
      <c r="O59" s="13"/>
      <c r="P59" s="14"/>
      <c r="Q59" s="21"/>
      <c r="R59" s="22"/>
      <c r="S59" s="23"/>
      <c r="T59" s="15"/>
      <c r="U59" s="16"/>
      <c r="W59" t="str">
        <f>IF(G59-J59-SUM(K59:U59),G59-J59-SUM(K59:U59),"")</f>
        <v/>
      </c>
    </row>
    <row r="60" spans="1:23" x14ac:dyDescent="0.2">
      <c r="A60" s="7" t="str">
        <f t="shared" si="0"/>
        <v>acsmacrolett/3c00276_f4</v>
      </c>
      <c r="B60" s="7" t="s">
        <v>20</v>
      </c>
      <c r="C60" s="17" t="s">
        <v>73</v>
      </c>
      <c r="D60" s="7" t="s">
        <v>22</v>
      </c>
      <c r="E60" s="7" t="s">
        <v>42</v>
      </c>
      <c r="F60" s="7" t="s">
        <v>40</v>
      </c>
      <c r="G60" s="7">
        <v>2</v>
      </c>
      <c r="H60" s="7" t="str" cm="1">
        <f t="array" ref="H60">INDEX(_xlfn.TEXTSPLIT(INDEX(_xlfn.TEXTSPLIT(C60, "/"), 5), "."), 1)</f>
        <v>acsmacrolett</v>
      </c>
      <c r="I60" s="7" t="str" cm="1">
        <f t="array" ref="I60">IF(E60="Abstract","a",LOWER(_xlfn.CONCAT(LEFT(INDEX(_xlfn.TEXTSPLIT(E60," "),1),1),INDEX(_xlfn.TEXTSPLIT(E60," "),2))))</f>
        <v>f4</v>
      </c>
      <c r="J60" s="7">
        <v>2</v>
      </c>
      <c r="K60" s="9"/>
      <c r="L60" s="10"/>
      <c r="M60" s="11"/>
      <c r="N60" s="12"/>
      <c r="O60" s="13"/>
      <c r="P60" s="14"/>
      <c r="Q60" s="21"/>
      <c r="R60" s="22"/>
      <c r="S60" s="23"/>
      <c r="T60" s="15"/>
      <c r="U60" s="16"/>
      <c r="W60" t="str">
        <f>IF(G60-J60-SUM(K60:U60),G60-J60-SUM(K60:U60),"")</f>
        <v/>
      </c>
    </row>
    <row r="61" spans="1:23" x14ac:dyDescent="0.2">
      <c r="A61" s="7" t="str">
        <f t="shared" si="0"/>
        <v>acsmacrolett/3c00355_a</v>
      </c>
      <c r="B61" s="7" t="s">
        <v>20</v>
      </c>
      <c r="C61" s="17" t="s">
        <v>74</v>
      </c>
      <c r="D61" s="7" t="s">
        <v>22</v>
      </c>
      <c r="E61" s="7" t="s">
        <v>47</v>
      </c>
      <c r="F61" s="7" t="s">
        <v>33</v>
      </c>
      <c r="G61" s="7">
        <v>3</v>
      </c>
      <c r="H61" s="7" t="str" cm="1">
        <f t="array" ref="H61">INDEX(_xlfn.TEXTSPLIT(INDEX(_xlfn.TEXTSPLIT(C61, "/"), 5), "."), 1)</f>
        <v>acsmacrolett</v>
      </c>
      <c r="I61" s="7" t="str" cm="1">
        <f t="array" ref="I61">IF(E61="Abstract","a",LOWER(_xlfn.CONCAT(LEFT(INDEX(_xlfn.TEXTSPLIT(E61," "),1),1),INDEX(_xlfn.TEXTSPLIT(E61," "),2))))</f>
        <v>a</v>
      </c>
      <c r="J61" s="7">
        <v>2</v>
      </c>
      <c r="K61" s="9"/>
      <c r="L61" s="10"/>
      <c r="M61" s="11">
        <v>1</v>
      </c>
      <c r="N61" s="12"/>
      <c r="O61" s="13"/>
      <c r="P61" s="14"/>
      <c r="Q61" s="21"/>
      <c r="R61" s="22"/>
      <c r="S61" s="23"/>
      <c r="T61" s="15"/>
      <c r="U61" s="16"/>
      <c r="W61" t="str">
        <f>IF(G61-J61-SUM(K61:U61),G61-J61-SUM(K61:U61),"")</f>
        <v/>
      </c>
    </row>
    <row r="62" spans="1:23" x14ac:dyDescent="0.2">
      <c r="A62" s="7" t="str">
        <f t="shared" si="0"/>
        <v>acsmacrolett/3c00371_f1</v>
      </c>
      <c r="B62" s="7" t="s">
        <v>20</v>
      </c>
      <c r="C62" s="17" t="s">
        <v>75</v>
      </c>
      <c r="D62" s="7" t="s">
        <v>22</v>
      </c>
      <c r="E62" s="7" t="s">
        <v>23</v>
      </c>
      <c r="F62" s="7" t="s">
        <v>33</v>
      </c>
      <c r="G62" s="7">
        <v>6</v>
      </c>
      <c r="H62" s="7" t="str" cm="1">
        <f t="array" ref="H62">INDEX(_xlfn.TEXTSPLIT(INDEX(_xlfn.TEXTSPLIT(C62, "/"), 5), "."), 1)</f>
        <v>acsmacrolett</v>
      </c>
      <c r="I62" s="7" t="str" cm="1">
        <f t="array" ref="I62">IF(E62="Abstract","a",LOWER(_xlfn.CONCAT(LEFT(INDEX(_xlfn.TEXTSPLIT(E62," "),1),1),INDEX(_xlfn.TEXTSPLIT(E62," "),2))))</f>
        <v>f1</v>
      </c>
      <c r="J62" s="7">
        <v>4</v>
      </c>
      <c r="K62" s="9">
        <v>2</v>
      </c>
      <c r="L62" s="10"/>
      <c r="M62" s="11"/>
      <c r="N62" s="12"/>
      <c r="O62" s="13"/>
      <c r="P62" s="14"/>
      <c r="Q62" s="21"/>
      <c r="R62" s="22"/>
      <c r="S62" s="23"/>
      <c r="T62" s="15"/>
      <c r="U62" s="16"/>
      <c r="W62" t="str">
        <f>IF(G62-J62-SUM(K62:U62),G62-J62-SUM(K62:U62),"")</f>
        <v/>
      </c>
    </row>
    <row r="63" spans="1:23" x14ac:dyDescent="0.2">
      <c r="A63" s="7" t="str">
        <f t="shared" si="0"/>
        <v>acsmacrolett/3c00382_f1</v>
      </c>
      <c r="B63" s="7" t="s">
        <v>20</v>
      </c>
      <c r="C63" s="17" t="s">
        <v>76</v>
      </c>
      <c r="D63" s="7" t="s">
        <v>22</v>
      </c>
      <c r="E63" s="7" t="s">
        <v>23</v>
      </c>
      <c r="F63" s="7" t="s">
        <v>33</v>
      </c>
      <c r="G63" s="7">
        <v>2</v>
      </c>
      <c r="H63" s="7" t="str" cm="1">
        <f t="array" ref="H63">INDEX(_xlfn.TEXTSPLIT(INDEX(_xlfn.TEXTSPLIT(C63, "/"), 5), "."), 1)</f>
        <v>acsmacrolett</v>
      </c>
      <c r="I63" s="7" t="str" cm="1">
        <f t="array" ref="I63">IF(E63="Abstract","a",LOWER(_xlfn.CONCAT(LEFT(INDEX(_xlfn.TEXTSPLIT(E63," "),1),1),INDEX(_xlfn.TEXTSPLIT(E63," "),2))))</f>
        <v>f1</v>
      </c>
      <c r="J63" s="7"/>
      <c r="K63" s="9"/>
      <c r="L63" s="10">
        <v>2</v>
      </c>
      <c r="M63" s="11"/>
      <c r="N63" s="12"/>
      <c r="O63" s="13"/>
      <c r="P63" s="14"/>
      <c r="Q63" s="21"/>
      <c r="R63" s="22"/>
      <c r="S63" s="23"/>
      <c r="T63" s="15"/>
      <c r="U63" s="16"/>
      <c r="W63" t="str">
        <f>IF(G63-J63-SUM(K63:U63),G63-J63-SUM(K63:U63),"")</f>
        <v/>
      </c>
    </row>
    <row r="64" spans="1:23" x14ac:dyDescent="0.2">
      <c r="A64" s="7" t="str">
        <f t="shared" si="0"/>
        <v>acsmacrolett/3c00382_f2</v>
      </c>
      <c r="B64" s="7" t="s">
        <v>20</v>
      </c>
      <c r="C64" s="17" t="s">
        <v>76</v>
      </c>
      <c r="D64" s="7" t="s">
        <v>22</v>
      </c>
      <c r="E64" s="7" t="s">
        <v>29</v>
      </c>
      <c r="F64" s="7" t="s">
        <v>33</v>
      </c>
      <c r="G64" s="7">
        <v>1</v>
      </c>
      <c r="H64" s="7" t="str" cm="1">
        <f t="array" ref="H64">INDEX(_xlfn.TEXTSPLIT(INDEX(_xlfn.TEXTSPLIT(C64, "/"), 5), "."), 1)</f>
        <v>acsmacrolett</v>
      </c>
      <c r="I64" s="7" t="str" cm="1">
        <f t="array" ref="I64">IF(E64="Abstract","a",LOWER(_xlfn.CONCAT(LEFT(INDEX(_xlfn.TEXTSPLIT(E64," "),1),1),INDEX(_xlfn.TEXTSPLIT(E64," "),2))))</f>
        <v>f2</v>
      </c>
      <c r="J64" s="7"/>
      <c r="K64" s="9"/>
      <c r="L64" s="10">
        <v>1</v>
      </c>
      <c r="M64" s="11"/>
      <c r="N64" s="12"/>
      <c r="O64" s="13"/>
      <c r="P64" s="14"/>
      <c r="Q64" s="21"/>
      <c r="R64" s="22"/>
      <c r="S64" s="23"/>
      <c r="T64" s="15"/>
      <c r="U64" s="16"/>
      <c r="W64" t="str">
        <f>IF(G64-J64-SUM(K64:U64),G64-J64-SUM(K64:U64),"")</f>
        <v/>
      </c>
    </row>
    <row r="65" spans="1:23" s="6" customFormat="1" x14ac:dyDescent="0.2">
      <c r="A65" s="8" t="str">
        <f t="shared" si="0"/>
        <v>acsmacrolett/3c00382_f3</v>
      </c>
      <c r="B65" s="8" t="s">
        <v>20</v>
      </c>
      <c r="C65" s="20" t="s">
        <v>76</v>
      </c>
      <c r="D65" s="8" t="s">
        <v>22</v>
      </c>
      <c r="E65" s="8" t="s">
        <v>44</v>
      </c>
      <c r="F65" s="8" t="s">
        <v>33</v>
      </c>
      <c r="G65" s="8">
        <v>2</v>
      </c>
      <c r="H65" s="8" t="str" cm="1">
        <f t="array" ref="H65">INDEX(_xlfn.TEXTSPLIT(INDEX(_xlfn.TEXTSPLIT(C65, "/"), 5), "."), 1)</f>
        <v>acsmacrolett</v>
      </c>
      <c r="I65" s="8" t="str" cm="1">
        <f t="array" ref="I65">IF(E65="Abstract","a",LOWER(_xlfn.CONCAT(LEFT(INDEX(_xlfn.TEXTSPLIT(E65," "),1),1),INDEX(_xlfn.TEXTSPLIT(E65," "),2))))</f>
        <v>f3</v>
      </c>
      <c r="J65" s="8">
        <v>0</v>
      </c>
      <c r="K65" s="9"/>
      <c r="L65" s="10"/>
      <c r="M65" s="11"/>
      <c r="N65" s="12"/>
      <c r="O65" s="13"/>
      <c r="P65" s="14"/>
      <c r="Q65" s="21"/>
      <c r="R65" s="22"/>
      <c r="S65" s="23">
        <v>2</v>
      </c>
      <c r="T65" s="15"/>
      <c r="U65" s="16"/>
      <c r="W65" s="6" t="str">
        <f>IF(G65-J65-SUM(K65:U65),G65-J65-SUM(K65:U65),"")</f>
        <v/>
      </c>
    </row>
    <row r="66" spans="1:23" x14ac:dyDescent="0.2">
      <c r="A66" s="7" t="str">
        <f t="shared" ref="A66:A130" si="1">_xlfn.CONCAT(H66, "/",RIGHT(C66,7),"_",IF(D66="SI","si_",""), I66)</f>
        <v>acsmacrolett/3c00382_s1</v>
      </c>
      <c r="B66" s="7" t="s">
        <v>20</v>
      </c>
      <c r="C66" s="17" t="s">
        <v>76</v>
      </c>
      <c r="D66" s="7" t="s">
        <v>22</v>
      </c>
      <c r="E66" s="7" t="s">
        <v>31</v>
      </c>
      <c r="F66" s="7" t="s">
        <v>33</v>
      </c>
      <c r="G66" s="7">
        <v>2</v>
      </c>
      <c r="H66" s="7" t="str" cm="1">
        <f t="array" ref="H66">INDEX(_xlfn.TEXTSPLIT(INDEX(_xlfn.TEXTSPLIT(C66, "/"), 5), "."), 1)</f>
        <v>acsmacrolett</v>
      </c>
      <c r="I66" s="7" t="str" cm="1">
        <f t="array" ref="I66">IF(E66="Abstract","a",LOWER(_xlfn.CONCAT(LEFT(INDEX(_xlfn.TEXTSPLIT(E66," "),1),1),INDEX(_xlfn.TEXTSPLIT(E66," "),2))))</f>
        <v>s1</v>
      </c>
      <c r="J66" s="7">
        <v>2</v>
      </c>
      <c r="K66" s="9"/>
      <c r="L66" s="10"/>
      <c r="M66" s="11"/>
      <c r="N66" s="12"/>
      <c r="O66" s="13"/>
      <c r="P66" s="14"/>
      <c r="Q66" s="21"/>
      <c r="R66" s="22"/>
      <c r="S66" s="23"/>
      <c r="T66" s="15"/>
      <c r="U66" s="16"/>
      <c r="W66" t="str">
        <f>IF(G66-J66-SUM(K66:U66),G66-J66-SUM(K66:U66),"")</f>
        <v/>
      </c>
    </row>
    <row r="67" spans="1:23" x14ac:dyDescent="0.2">
      <c r="A67" s="7" t="str">
        <f t="shared" si="1"/>
        <v>acsmacrolett/3c00389_s1</v>
      </c>
      <c r="B67" s="7" t="s">
        <v>20</v>
      </c>
      <c r="C67" s="17" t="s">
        <v>77</v>
      </c>
      <c r="D67" s="7" t="s">
        <v>22</v>
      </c>
      <c r="E67" s="7" t="s">
        <v>31</v>
      </c>
      <c r="F67" s="7" t="s">
        <v>33</v>
      </c>
      <c r="G67" s="8">
        <v>7</v>
      </c>
      <c r="H67" s="8" t="str" cm="1">
        <f t="array" ref="H67">INDEX(_xlfn.TEXTSPLIT(INDEX(_xlfn.TEXTSPLIT(C67, "/"), 5), "."), 1)</f>
        <v>acsmacrolett</v>
      </c>
      <c r="I67" s="7" t="str" cm="1">
        <f t="array" ref="I67">IF(E67="Abstract","a",LOWER(_xlfn.CONCAT(LEFT(INDEX(_xlfn.TEXTSPLIT(E67," "),1),1),INDEX(_xlfn.TEXTSPLIT(E67," "),2))))</f>
        <v>s1</v>
      </c>
      <c r="J67" s="7">
        <v>7</v>
      </c>
      <c r="K67" s="9"/>
      <c r="L67" s="10"/>
      <c r="M67" s="11"/>
      <c r="N67" s="12"/>
      <c r="O67" s="13"/>
      <c r="P67" s="14"/>
      <c r="Q67" s="21"/>
      <c r="R67" s="22"/>
      <c r="S67" s="23"/>
      <c r="T67" s="15"/>
      <c r="U67" s="16"/>
      <c r="W67" t="str">
        <f>IF(G67-J67-SUM(K67:U67),G67-J67-SUM(K67:U67),"")</f>
        <v/>
      </c>
    </row>
    <row r="68" spans="1:23" x14ac:dyDescent="0.2">
      <c r="A68" s="7" t="str">
        <f t="shared" si="1"/>
        <v>acsmacrolett/3c00397_f2</v>
      </c>
      <c r="B68" s="7" t="s">
        <v>20</v>
      </c>
      <c r="C68" s="17" t="s">
        <v>78</v>
      </c>
      <c r="D68" s="7" t="s">
        <v>22</v>
      </c>
      <c r="E68" s="7" t="s">
        <v>29</v>
      </c>
      <c r="F68" s="7" t="s">
        <v>33</v>
      </c>
      <c r="G68" s="7">
        <v>4</v>
      </c>
      <c r="H68" s="7" t="str" cm="1">
        <f t="array" ref="H68">INDEX(_xlfn.TEXTSPLIT(INDEX(_xlfn.TEXTSPLIT(C68, "/"), 5), "."), 1)</f>
        <v>acsmacrolett</v>
      </c>
      <c r="I68" s="7" t="str" cm="1">
        <f t="array" ref="I68">IF(E68="Abstract","a",LOWER(_xlfn.CONCAT(LEFT(INDEX(_xlfn.TEXTSPLIT(E68," "),1),1),INDEX(_xlfn.TEXTSPLIT(E68," "),2))))</f>
        <v>f2</v>
      </c>
      <c r="J68" s="7">
        <v>2</v>
      </c>
      <c r="K68" s="9"/>
      <c r="L68" s="10">
        <v>2</v>
      </c>
      <c r="M68" s="11"/>
      <c r="N68" s="12"/>
      <c r="O68" s="13"/>
      <c r="P68" s="14"/>
      <c r="Q68" s="21"/>
      <c r="R68" s="22"/>
      <c r="S68" s="23"/>
      <c r="T68" s="15"/>
      <c r="U68" s="16"/>
      <c r="W68" t="str">
        <f>IF(G68-J68-SUM(K68:U68),G68-J68-SUM(K68:U68),"")</f>
        <v/>
      </c>
    </row>
    <row r="69" spans="1:23" x14ac:dyDescent="0.2">
      <c r="A69" s="7" t="str">
        <f t="shared" si="1"/>
        <v>acsmacrolett/3c00418_f2</v>
      </c>
      <c r="B69" s="7" t="s">
        <v>20</v>
      </c>
      <c r="C69" s="17" t="s">
        <v>79</v>
      </c>
      <c r="D69" s="7" t="s">
        <v>22</v>
      </c>
      <c r="E69" s="7" t="s">
        <v>29</v>
      </c>
      <c r="F69" s="7" t="s">
        <v>33</v>
      </c>
      <c r="G69" s="7">
        <v>1</v>
      </c>
      <c r="H69" s="7" t="str" cm="1">
        <f t="array" ref="H69">INDEX(_xlfn.TEXTSPLIT(INDEX(_xlfn.TEXTSPLIT(C69, "/"), 5), "."), 1)</f>
        <v>acsmacrolett</v>
      </c>
      <c r="I69" s="7" t="str" cm="1">
        <f t="array" ref="I69">IF(E69="Abstract","a",LOWER(_xlfn.CONCAT(LEFT(INDEX(_xlfn.TEXTSPLIT(E69," "),1),1),INDEX(_xlfn.TEXTSPLIT(E69," "),2))))</f>
        <v>f2</v>
      </c>
      <c r="J69" s="7">
        <v>1</v>
      </c>
      <c r="K69" s="9"/>
      <c r="L69" s="10"/>
      <c r="M69" s="11"/>
      <c r="N69" s="12"/>
      <c r="O69" s="13"/>
      <c r="P69" s="14"/>
      <c r="Q69" s="21"/>
      <c r="R69" s="22"/>
      <c r="S69" s="23"/>
      <c r="T69" s="15"/>
      <c r="U69" s="16"/>
      <c r="W69" t="str">
        <f>IF(G69-J69-SUM(K69:U69),G69-J69-SUM(K69:U69),"")</f>
        <v/>
      </c>
    </row>
    <row r="70" spans="1:23" x14ac:dyDescent="0.2">
      <c r="A70" s="7" t="str">
        <f t="shared" si="1"/>
        <v>acsmacrolett/3c00418_f4</v>
      </c>
      <c r="B70" s="7" t="s">
        <v>20</v>
      </c>
      <c r="C70" s="17" t="s">
        <v>79</v>
      </c>
      <c r="D70" s="7" t="s">
        <v>22</v>
      </c>
      <c r="E70" s="7" t="s">
        <v>42</v>
      </c>
      <c r="F70" s="7" t="s">
        <v>33</v>
      </c>
      <c r="G70" s="7">
        <v>1</v>
      </c>
      <c r="H70" s="7" t="str" cm="1">
        <f t="array" ref="H70">INDEX(_xlfn.TEXTSPLIT(INDEX(_xlfn.TEXTSPLIT(C70, "/"), 5), "."), 1)</f>
        <v>acsmacrolett</v>
      </c>
      <c r="I70" s="7" t="str" cm="1">
        <f t="array" ref="I70">IF(E70="Abstract","a",LOWER(_xlfn.CONCAT(LEFT(INDEX(_xlfn.TEXTSPLIT(E70," "),1),1),INDEX(_xlfn.TEXTSPLIT(E70," "),2))))</f>
        <v>f4</v>
      </c>
      <c r="J70" s="7">
        <v>1</v>
      </c>
      <c r="K70" s="9"/>
      <c r="L70" s="10"/>
      <c r="M70" s="11"/>
      <c r="N70" s="12"/>
      <c r="O70" s="13"/>
      <c r="P70" s="14"/>
      <c r="Q70" s="21"/>
      <c r="R70" s="22"/>
      <c r="S70" s="23"/>
      <c r="T70" s="15"/>
      <c r="U70" s="16"/>
      <c r="W70" t="str">
        <f>IF(G70-J70-SUM(K70:U70),G70-J70-SUM(K70:U70),"")</f>
        <v/>
      </c>
    </row>
    <row r="71" spans="1:23" x14ac:dyDescent="0.2">
      <c r="A71" s="7" t="str">
        <f t="shared" si="1"/>
        <v>acsmacrolett/3c00418_f5</v>
      </c>
      <c r="B71" s="7" t="s">
        <v>20</v>
      </c>
      <c r="C71" s="17" t="s">
        <v>79</v>
      </c>
      <c r="D71" s="7" t="s">
        <v>22</v>
      </c>
      <c r="E71" s="7" t="s">
        <v>80</v>
      </c>
      <c r="F71" s="7" t="s">
        <v>33</v>
      </c>
      <c r="G71" s="7">
        <v>5</v>
      </c>
      <c r="H71" s="7" t="str" cm="1">
        <f t="array" ref="H71">INDEX(_xlfn.TEXTSPLIT(INDEX(_xlfn.TEXTSPLIT(C71, "/"), 5), "."), 1)</f>
        <v>acsmacrolett</v>
      </c>
      <c r="I71" s="7" t="str" cm="1">
        <f t="array" ref="I71">IF(E71="Abstract","a",LOWER(_xlfn.CONCAT(LEFT(INDEX(_xlfn.TEXTSPLIT(E71," "),1),1),INDEX(_xlfn.TEXTSPLIT(E71," "),2))))</f>
        <v>f5</v>
      </c>
      <c r="J71" s="7">
        <v>5</v>
      </c>
      <c r="K71" s="9"/>
      <c r="L71" s="10"/>
      <c r="M71" s="11"/>
      <c r="N71" s="12"/>
      <c r="O71" s="13"/>
      <c r="P71" s="14"/>
      <c r="Q71" s="21"/>
      <c r="R71" s="22"/>
      <c r="S71" s="23"/>
      <c r="T71" s="15"/>
      <c r="U71" s="16"/>
      <c r="W71" t="str">
        <f>IF(G71-J71-SUM(K71:U71),G71-J71-SUM(K71:U71),"")</f>
        <v/>
      </c>
    </row>
    <row r="72" spans="1:23" x14ac:dyDescent="0.2">
      <c r="A72" s="7" t="str">
        <f t="shared" si="1"/>
        <v>acsmacrolett/3c00460_s2</v>
      </c>
      <c r="B72" s="7" t="s">
        <v>20</v>
      </c>
      <c r="C72" s="17" t="s">
        <v>81</v>
      </c>
      <c r="D72" s="7" t="s">
        <v>22</v>
      </c>
      <c r="E72" s="7" t="s">
        <v>55</v>
      </c>
      <c r="F72" s="7" t="s">
        <v>33</v>
      </c>
      <c r="G72" s="7">
        <v>1</v>
      </c>
      <c r="H72" s="7" t="str" cm="1">
        <f t="array" ref="H72">INDEX(_xlfn.TEXTSPLIT(INDEX(_xlfn.TEXTSPLIT(C72, "/"), 5), "."), 1)</f>
        <v>acsmacrolett</v>
      </c>
      <c r="I72" s="7" t="str" cm="1">
        <f t="array" ref="I72">IF(E72="Abstract","a",LOWER(_xlfn.CONCAT(LEFT(INDEX(_xlfn.TEXTSPLIT(E72," "),1),1),INDEX(_xlfn.TEXTSPLIT(E72," "),2))))</f>
        <v>s2</v>
      </c>
      <c r="J72" s="7"/>
      <c r="K72" s="9"/>
      <c r="L72" s="10"/>
      <c r="M72" s="11"/>
      <c r="N72" s="12">
        <v>1</v>
      </c>
      <c r="O72" s="13"/>
      <c r="P72" s="14"/>
      <c r="Q72" s="21"/>
      <c r="R72" s="22"/>
      <c r="S72" s="23"/>
      <c r="T72" s="15"/>
      <c r="U72" s="16"/>
      <c r="W72" t="str">
        <f>IF(G72-J72-SUM(K72:U72),G72-J72-SUM(K72:U72),"")</f>
        <v/>
      </c>
    </row>
    <row r="73" spans="1:23" x14ac:dyDescent="0.2">
      <c r="A73" s="7" t="str">
        <f t="shared" si="1"/>
        <v>acsmacrolett/3c00481_f2</v>
      </c>
      <c r="B73" s="7" t="s">
        <v>20</v>
      </c>
      <c r="C73" s="17" t="s">
        <v>82</v>
      </c>
      <c r="D73" s="7" t="s">
        <v>22</v>
      </c>
      <c r="E73" s="7" t="s">
        <v>29</v>
      </c>
      <c r="F73" s="7" t="s">
        <v>40</v>
      </c>
      <c r="G73" s="7">
        <v>3</v>
      </c>
      <c r="H73" s="7" t="str" cm="1">
        <f t="array" ref="H73">INDEX(_xlfn.TEXTSPLIT(INDEX(_xlfn.TEXTSPLIT(C73, "/"), 5), "."), 1)</f>
        <v>acsmacrolett</v>
      </c>
      <c r="I73" s="7" t="str" cm="1">
        <f t="array" ref="I73">IF(E73="Abstract","a",LOWER(_xlfn.CONCAT(LEFT(INDEX(_xlfn.TEXTSPLIT(E73," "),1),1),INDEX(_xlfn.TEXTSPLIT(E73," "),2))))</f>
        <v>f2</v>
      </c>
      <c r="J73" s="3">
        <v>3</v>
      </c>
      <c r="K73" s="9"/>
      <c r="L73" s="10"/>
      <c r="M73" s="11"/>
      <c r="N73" s="12"/>
      <c r="O73" s="13"/>
      <c r="P73" s="14"/>
      <c r="Q73" s="21"/>
      <c r="R73" s="22"/>
      <c r="S73" s="23"/>
      <c r="T73" s="15"/>
      <c r="U73" s="16"/>
      <c r="W73" t="str">
        <f>IF(G73-J73-SUM(K73:U73),G73-J73-SUM(K73:U73),"")</f>
        <v/>
      </c>
    </row>
    <row r="74" spans="1:23" x14ac:dyDescent="0.2">
      <c r="A74" s="7" t="str">
        <f t="shared" si="1"/>
        <v>acsmacrolett/3c00481_f3</v>
      </c>
      <c r="B74" s="7" t="s">
        <v>20</v>
      </c>
      <c r="C74" s="17" t="s">
        <v>82</v>
      </c>
      <c r="D74" s="7" t="s">
        <v>22</v>
      </c>
      <c r="E74" s="7" t="s">
        <v>44</v>
      </c>
      <c r="F74" s="7" t="s">
        <v>40</v>
      </c>
      <c r="G74" s="7">
        <v>2</v>
      </c>
      <c r="H74" s="7" t="str" cm="1">
        <f t="array" ref="H74">INDEX(_xlfn.TEXTSPLIT(INDEX(_xlfn.TEXTSPLIT(C74, "/"), 5), "."), 1)</f>
        <v>acsmacrolett</v>
      </c>
      <c r="I74" s="7" t="str" cm="1">
        <f t="array" ref="I74">IF(E74="Abstract","a",LOWER(_xlfn.CONCAT(LEFT(INDEX(_xlfn.TEXTSPLIT(E74," "),1),1),INDEX(_xlfn.TEXTSPLIT(E74," "),2))))</f>
        <v>f3</v>
      </c>
      <c r="J74" s="7">
        <v>2</v>
      </c>
      <c r="K74" s="9"/>
      <c r="L74" s="10"/>
      <c r="M74" s="11"/>
      <c r="N74" s="12"/>
      <c r="O74" s="13"/>
      <c r="P74" s="14"/>
      <c r="Q74" s="21"/>
      <c r="R74" s="22"/>
      <c r="S74" s="23"/>
      <c r="T74" s="15"/>
      <c r="U74" s="16"/>
      <c r="W74" t="str">
        <f>IF(G74-J74-SUM(K74:U74),G74-J74-SUM(K74:U74),"")</f>
        <v/>
      </c>
    </row>
    <row r="75" spans="1:23" x14ac:dyDescent="0.2">
      <c r="A75" s="7" t="str">
        <f t="shared" si="1"/>
        <v>acsmacrolett/3c00657_f1</v>
      </c>
      <c r="B75" s="7" t="s">
        <v>20</v>
      </c>
      <c r="C75" s="17" t="s">
        <v>83</v>
      </c>
      <c r="D75" s="7" t="s">
        <v>22</v>
      </c>
      <c r="E75" s="7" t="s">
        <v>23</v>
      </c>
      <c r="F75" s="7" t="s">
        <v>33</v>
      </c>
      <c r="G75" s="7">
        <v>1</v>
      </c>
      <c r="H75" s="7" t="str" cm="1">
        <f t="array" ref="H75">INDEX(_xlfn.TEXTSPLIT(INDEX(_xlfn.TEXTSPLIT(C75, "/"), 5), "."), 1)</f>
        <v>acsmacrolett</v>
      </c>
      <c r="I75" s="7" t="str" cm="1">
        <f t="array" ref="I75">IF(E75="Abstract","a",LOWER(_xlfn.CONCAT(LEFT(INDEX(_xlfn.TEXTSPLIT(E75," "),1),1),INDEX(_xlfn.TEXTSPLIT(E75," "),2))))</f>
        <v>f1</v>
      </c>
      <c r="J75" s="7"/>
      <c r="K75" s="9"/>
      <c r="L75" s="10"/>
      <c r="M75" s="11"/>
      <c r="N75" s="12"/>
      <c r="O75" s="13"/>
      <c r="P75" s="14"/>
      <c r="Q75" s="21"/>
      <c r="R75" s="22"/>
      <c r="S75" s="23">
        <v>1</v>
      </c>
      <c r="T75" s="15"/>
      <c r="U75" s="16"/>
      <c r="W75" t="str">
        <f>IF(G75-J75-SUM(K75:U75),G75-J75-SUM(K75:U75),"")</f>
        <v/>
      </c>
    </row>
    <row r="76" spans="1:23" x14ac:dyDescent="0.2">
      <c r="A76" s="7" t="str">
        <f t="shared" si="1"/>
        <v>acsmacrolett/3c00714_a</v>
      </c>
      <c r="B76" s="7" t="s">
        <v>20</v>
      </c>
      <c r="C76" s="17" t="s">
        <v>84</v>
      </c>
      <c r="D76" s="7" t="s">
        <v>22</v>
      </c>
      <c r="E76" s="7" t="s">
        <v>47</v>
      </c>
      <c r="F76" s="7" t="s">
        <v>33</v>
      </c>
      <c r="G76" s="7">
        <v>1</v>
      </c>
      <c r="H76" s="7" t="str" cm="1">
        <f t="array" ref="H76">INDEX(_xlfn.TEXTSPLIT(INDEX(_xlfn.TEXTSPLIT(C76, "/"), 5), "."), 1)</f>
        <v>acsmacrolett</v>
      </c>
      <c r="I76" s="7" t="str" cm="1">
        <f t="array" ref="I76">IF(E76="Abstract","a",LOWER(_xlfn.CONCAT(LEFT(INDEX(_xlfn.TEXTSPLIT(E76," "),1),1),INDEX(_xlfn.TEXTSPLIT(E76," "),2))))</f>
        <v>a</v>
      </c>
      <c r="J76" s="7">
        <v>1</v>
      </c>
      <c r="K76" s="9"/>
      <c r="L76" s="10"/>
      <c r="M76" s="11"/>
      <c r="N76" s="12"/>
      <c r="O76" s="13"/>
      <c r="P76" s="14"/>
      <c r="Q76" s="21"/>
      <c r="R76" s="22"/>
      <c r="S76" s="23"/>
      <c r="T76" s="15"/>
      <c r="U76" s="16"/>
      <c r="W76" t="str">
        <f>IF(G76-J76-SUM(K76:U76),G76-J76-SUM(K76:U76),"")</f>
        <v/>
      </c>
    </row>
    <row r="77" spans="1:23" x14ac:dyDescent="0.2">
      <c r="A77" s="7" t="str">
        <f t="shared" si="1"/>
        <v>acsmacrolett/3c00714_s1</v>
      </c>
      <c r="B77" s="7" t="s">
        <v>20</v>
      </c>
      <c r="C77" s="17" t="s">
        <v>84</v>
      </c>
      <c r="D77" s="7" t="s">
        <v>22</v>
      </c>
      <c r="E77" s="7" t="s">
        <v>31</v>
      </c>
      <c r="F77" s="7" t="s">
        <v>33</v>
      </c>
      <c r="G77" s="7">
        <v>1</v>
      </c>
      <c r="H77" s="7" t="str" cm="1">
        <f t="array" ref="H77">INDEX(_xlfn.TEXTSPLIT(INDEX(_xlfn.TEXTSPLIT(C77, "/"), 5), "."), 1)</f>
        <v>acsmacrolett</v>
      </c>
      <c r="I77" s="7" t="str" cm="1">
        <f t="array" ref="I77">IF(E77="Abstract","a",LOWER(_xlfn.CONCAT(LEFT(INDEX(_xlfn.TEXTSPLIT(E77," "),1),1),INDEX(_xlfn.TEXTSPLIT(E77," "),2))))</f>
        <v>s1</v>
      </c>
      <c r="J77" s="7">
        <v>1</v>
      </c>
      <c r="K77" s="9"/>
      <c r="L77" s="10"/>
      <c r="M77" s="11"/>
      <c r="N77" s="12"/>
      <c r="O77" s="13"/>
      <c r="P77" s="14"/>
      <c r="Q77" s="21"/>
      <c r="R77" s="22"/>
      <c r="S77" s="23"/>
      <c r="T77" s="15"/>
      <c r="U77" s="16"/>
      <c r="W77" t="str">
        <f>IF(G77-J77-SUM(K77:U77),G77-J77-SUM(K77:U77),"")</f>
        <v/>
      </c>
    </row>
    <row r="78" spans="1:23" x14ac:dyDescent="0.2">
      <c r="A78" s="7" t="str">
        <f t="shared" si="1"/>
        <v>acsmacrolett/3c00714_s3</v>
      </c>
      <c r="B78" s="7" t="s">
        <v>20</v>
      </c>
      <c r="C78" s="17" t="s">
        <v>84</v>
      </c>
      <c r="D78" s="7" t="s">
        <v>22</v>
      </c>
      <c r="E78" s="7" t="s">
        <v>56</v>
      </c>
      <c r="F78" s="7" t="s">
        <v>33</v>
      </c>
      <c r="G78" s="7">
        <v>3</v>
      </c>
      <c r="H78" s="7" t="str" cm="1">
        <f t="array" ref="H78">INDEX(_xlfn.TEXTSPLIT(INDEX(_xlfn.TEXTSPLIT(C78, "/"), 5), "."), 1)</f>
        <v>acsmacrolett</v>
      </c>
      <c r="I78" s="7" t="str" cm="1">
        <f t="array" ref="I78">IF(E78="Abstract","a",LOWER(_xlfn.CONCAT(LEFT(INDEX(_xlfn.TEXTSPLIT(E78," "),1),1),INDEX(_xlfn.TEXTSPLIT(E78," "),2))))</f>
        <v>s3</v>
      </c>
      <c r="J78" s="7">
        <v>3</v>
      </c>
      <c r="K78" s="9"/>
      <c r="L78" s="10"/>
      <c r="M78" s="11"/>
      <c r="N78" s="12"/>
      <c r="O78" s="13"/>
      <c r="P78" s="14"/>
      <c r="Q78" s="21"/>
      <c r="R78" s="22"/>
      <c r="S78" s="23"/>
      <c r="T78" s="15"/>
      <c r="U78" s="16"/>
      <c r="W78" t="str">
        <f>IF(G78-J78-SUM(K78:U78),G78-J78-SUM(K78:U78),"")</f>
        <v/>
      </c>
    </row>
    <row r="79" spans="1:23" x14ac:dyDescent="0.2">
      <c r="A79" s="7" t="str">
        <f t="shared" si="1"/>
        <v>acsmacrolett/3c00751_f1</v>
      </c>
      <c r="B79" s="7" t="s">
        <v>20</v>
      </c>
      <c r="C79" s="17" t="s">
        <v>85</v>
      </c>
      <c r="D79" s="7" t="s">
        <v>22</v>
      </c>
      <c r="E79" s="7" t="s">
        <v>23</v>
      </c>
      <c r="F79" s="7" t="s">
        <v>33</v>
      </c>
      <c r="G79" s="7">
        <v>3</v>
      </c>
      <c r="H79" s="7" t="str" cm="1">
        <f t="array" ref="H79">INDEX(_xlfn.TEXTSPLIT(INDEX(_xlfn.TEXTSPLIT(C79, "/"), 5), "."), 1)</f>
        <v>acsmacrolett</v>
      </c>
      <c r="I79" s="7" t="str" cm="1">
        <f t="array" ref="I79">IF(E79="Abstract","a",LOWER(_xlfn.CONCAT(LEFT(INDEX(_xlfn.TEXTSPLIT(E79," "),1),1),INDEX(_xlfn.TEXTSPLIT(E79," "),2))))</f>
        <v>f1</v>
      </c>
      <c r="J79" s="7">
        <v>3</v>
      </c>
      <c r="K79" s="9"/>
      <c r="L79" s="10"/>
      <c r="M79" s="11"/>
      <c r="N79" s="12"/>
      <c r="O79" s="13"/>
      <c r="P79" s="14"/>
      <c r="Q79" s="21"/>
      <c r="R79" s="22"/>
      <c r="S79" s="23"/>
      <c r="T79" s="15"/>
      <c r="U79" s="16"/>
      <c r="W79" t="str">
        <f>IF(G79-J79-SUM(K79:U79),G79-J79-SUM(K79:U79),"")</f>
        <v/>
      </c>
    </row>
    <row r="80" spans="1:23" s="6" customFormat="1" x14ac:dyDescent="0.2">
      <c r="A80" s="8" t="str">
        <f t="shared" si="1"/>
        <v>acsmacrolett/4c00069_f1</v>
      </c>
      <c r="B80" s="8" t="s">
        <v>20</v>
      </c>
      <c r="C80" s="20" t="s">
        <v>86</v>
      </c>
      <c r="D80" s="8" t="s">
        <v>22</v>
      </c>
      <c r="E80" s="8" t="s">
        <v>23</v>
      </c>
      <c r="F80" s="8" t="s">
        <v>33</v>
      </c>
      <c r="G80" s="8">
        <v>1</v>
      </c>
      <c r="H80" s="8" t="str" cm="1">
        <f t="array" ref="H80">INDEX(_xlfn.TEXTSPLIT(INDEX(_xlfn.TEXTSPLIT(C80, "/"), 5), "."), 1)</f>
        <v>acsmacrolett</v>
      </c>
      <c r="I80" s="8" t="str" cm="1">
        <f t="array" ref="I80">IF(E80="Abstract","a",LOWER(_xlfn.CONCAT(LEFT(INDEX(_xlfn.TEXTSPLIT(E80," "),1),1),INDEX(_xlfn.TEXTSPLIT(E80," "),2))))</f>
        <v>f1</v>
      </c>
      <c r="J80" s="8"/>
      <c r="K80" s="9"/>
      <c r="L80" s="10"/>
      <c r="M80" s="11"/>
      <c r="N80" s="12"/>
      <c r="O80" s="13"/>
      <c r="P80" s="14"/>
      <c r="Q80" s="21"/>
      <c r="R80" s="22"/>
      <c r="S80" s="23"/>
      <c r="T80" s="15"/>
      <c r="U80" s="16">
        <v>1</v>
      </c>
      <c r="W80" s="6" t="str">
        <f>IF(G80-J80-SUM(K80:U80),G80-J80-SUM(K80:U80),"")</f>
        <v/>
      </c>
    </row>
    <row r="81" spans="1:23" x14ac:dyDescent="0.2">
      <c r="A81" s="7" t="str">
        <f t="shared" si="1"/>
        <v>acsmacrolett/4c00101_a</v>
      </c>
      <c r="B81" s="7" t="s">
        <v>20</v>
      </c>
      <c r="C81" s="17" t="s">
        <v>87</v>
      </c>
      <c r="D81" s="7" t="s">
        <v>22</v>
      </c>
      <c r="E81" s="7" t="s">
        <v>47</v>
      </c>
      <c r="F81" s="7" t="s">
        <v>33</v>
      </c>
      <c r="G81" s="7">
        <v>1</v>
      </c>
      <c r="H81" s="7" t="str" cm="1">
        <f t="array" ref="H81">INDEX(_xlfn.TEXTSPLIT(INDEX(_xlfn.TEXTSPLIT(C81, "/"), 5), "."), 1)</f>
        <v>acsmacrolett</v>
      </c>
      <c r="I81" s="7" t="str" cm="1">
        <f t="array" ref="I81">IF(E81="Abstract","a",LOWER(_xlfn.CONCAT(LEFT(INDEX(_xlfn.TEXTSPLIT(E81," "),1),1),INDEX(_xlfn.TEXTSPLIT(E81," "),2))))</f>
        <v>a</v>
      </c>
      <c r="J81" s="7">
        <v>1</v>
      </c>
      <c r="K81" s="4"/>
      <c r="L81" s="10"/>
      <c r="M81" s="11"/>
      <c r="N81" s="12"/>
      <c r="O81" s="13"/>
      <c r="P81" s="14"/>
      <c r="Q81" s="21"/>
      <c r="R81" s="22"/>
      <c r="S81" s="23"/>
      <c r="T81" s="15"/>
      <c r="U81" s="16"/>
      <c r="W81" t="str">
        <f>IF(G81-J81-SUM(K81:U81),G81-J81-SUM(K81:U81),"")</f>
        <v/>
      </c>
    </row>
    <row r="82" spans="1:23" x14ac:dyDescent="0.2">
      <c r="A82" s="7" t="str">
        <f t="shared" si="1"/>
        <v>acsmacrolett/4c00101_f1</v>
      </c>
      <c r="B82" s="7" t="s">
        <v>20</v>
      </c>
      <c r="C82" s="17" t="s">
        <v>87</v>
      </c>
      <c r="D82" s="7" t="s">
        <v>22</v>
      </c>
      <c r="E82" s="7" t="s">
        <v>23</v>
      </c>
      <c r="F82" s="7" t="s">
        <v>33</v>
      </c>
      <c r="G82" s="7">
        <v>1</v>
      </c>
      <c r="H82" s="7" t="str" cm="1">
        <f t="array" ref="H82">INDEX(_xlfn.TEXTSPLIT(INDEX(_xlfn.TEXTSPLIT(C82, "/"), 5), "."), 1)</f>
        <v>acsmacrolett</v>
      </c>
      <c r="I82" s="7" t="str" cm="1">
        <f t="array" ref="I82">IF(E82="Abstract","a",LOWER(_xlfn.CONCAT(LEFT(INDEX(_xlfn.TEXTSPLIT(E82," "),1),1),INDEX(_xlfn.TEXTSPLIT(E82," "),2))))</f>
        <v>f1</v>
      </c>
      <c r="J82" s="7">
        <v>1</v>
      </c>
      <c r="K82" s="4"/>
      <c r="L82" s="10"/>
      <c r="M82" s="11"/>
      <c r="N82" s="12"/>
      <c r="O82" s="13"/>
      <c r="P82" s="14"/>
      <c r="Q82" s="21"/>
      <c r="R82" s="22"/>
      <c r="S82" s="23"/>
      <c r="T82" s="15"/>
      <c r="U82" s="16"/>
      <c r="W82" t="str">
        <f>IF(G82-J82-SUM(K82:U82),G82-J82-SUM(K82:U82),"")</f>
        <v/>
      </c>
    </row>
    <row r="83" spans="1:23" x14ac:dyDescent="0.2">
      <c r="A83" s="7" t="str">
        <f t="shared" si="1"/>
        <v>acsmacrolett/4c00101_f2</v>
      </c>
      <c r="B83" s="7" t="s">
        <v>20</v>
      </c>
      <c r="C83" s="17" t="s">
        <v>87</v>
      </c>
      <c r="D83" s="7" t="s">
        <v>22</v>
      </c>
      <c r="E83" s="7" t="s">
        <v>29</v>
      </c>
      <c r="F83" s="7" t="s">
        <v>33</v>
      </c>
      <c r="G83" s="7">
        <v>2</v>
      </c>
      <c r="H83" s="7" t="str" cm="1">
        <f t="array" ref="H83">INDEX(_xlfn.TEXTSPLIT(INDEX(_xlfn.TEXTSPLIT(C83, "/"), 5), "."), 1)</f>
        <v>acsmacrolett</v>
      </c>
      <c r="I83" s="7" t="str" cm="1">
        <f t="array" ref="I83">IF(E83="Abstract","a",LOWER(_xlfn.CONCAT(LEFT(INDEX(_xlfn.TEXTSPLIT(E83," "),1),1),INDEX(_xlfn.TEXTSPLIT(E83," "),2))))</f>
        <v>f2</v>
      </c>
      <c r="J83" s="7"/>
      <c r="K83" s="9"/>
      <c r="L83" s="10"/>
      <c r="M83" s="11"/>
      <c r="N83" s="12"/>
      <c r="O83" s="13"/>
      <c r="P83" s="14"/>
      <c r="Q83" s="21"/>
      <c r="R83" s="22"/>
      <c r="S83" s="23"/>
      <c r="T83" s="15">
        <v>2</v>
      </c>
      <c r="U83" s="16"/>
      <c r="W83" t="str">
        <f>IF(G83-J83-SUM(K83:U83),G83-J83-SUM(K83:U83),"")</f>
        <v/>
      </c>
    </row>
    <row r="84" spans="1:23" x14ac:dyDescent="0.2">
      <c r="A84" s="7" t="str">
        <f t="shared" si="1"/>
        <v>acsmacrolett/4c00117_f1</v>
      </c>
      <c r="B84" s="7" t="s">
        <v>20</v>
      </c>
      <c r="C84" s="17" t="s">
        <v>88</v>
      </c>
      <c r="D84" s="7" t="s">
        <v>22</v>
      </c>
      <c r="E84" s="7" t="s">
        <v>23</v>
      </c>
      <c r="F84" s="7" t="s">
        <v>33</v>
      </c>
      <c r="G84" s="8">
        <v>1</v>
      </c>
      <c r="H84" s="7" t="str" cm="1">
        <f t="array" ref="H84">INDEX(_xlfn.TEXTSPLIT(INDEX(_xlfn.TEXTSPLIT(C84, "/"), 5), "."), 1)</f>
        <v>acsmacrolett</v>
      </c>
      <c r="I84" s="7" t="str" cm="1">
        <f t="array" ref="I84">IF(E84="Abstract","a",LOWER(_xlfn.CONCAT(LEFT(INDEX(_xlfn.TEXTSPLIT(E84," "),1),1),INDEX(_xlfn.TEXTSPLIT(E84," "),2))))</f>
        <v>f1</v>
      </c>
      <c r="J84" s="7"/>
      <c r="K84" s="9"/>
      <c r="L84" s="10">
        <v>1</v>
      </c>
      <c r="M84" s="11"/>
      <c r="N84" s="12"/>
      <c r="O84" s="13"/>
      <c r="P84" s="14"/>
      <c r="Q84" s="21"/>
      <c r="R84" s="22"/>
      <c r="S84" s="23"/>
      <c r="T84" s="15"/>
      <c r="U84" s="16"/>
      <c r="W84" t="str">
        <f>IF(G84-J84-SUM(K84:U84),G84-J84-SUM(K84:U84),"")</f>
        <v/>
      </c>
    </row>
    <row r="85" spans="1:23" s="6" customFormat="1" x14ac:dyDescent="0.2">
      <c r="A85" s="8" t="str">
        <f t="shared" si="1"/>
        <v>acsmacrolett/4c00204_s1</v>
      </c>
      <c r="B85" s="8" t="s">
        <v>20</v>
      </c>
      <c r="C85" s="20" t="s">
        <v>89</v>
      </c>
      <c r="D85" s="8" t="s">
        <v>22</v>
      </c>
      <c r="E85" s="8" t="s">
        <v>31</v>
      </c>
      <c r="F85" s="8" t="s">
        <v>33</v>
      </c>
      <c r="G85" s="8">
        <v>6</v>
      </c>
      <c r="H85" s="8" t="str" cm="1">
        <f t="array" ref="H85">INDEX(_xlfn.TEXTSPLIT(INDEX(_xlfn.TEXTSPLIT(C85, "/"), 5), "."), 1)</f>
        <v>acsmacrolett</v>
      </c>
      <c r="I85" s="8" t="str" cm="1">
        <f t="array" ref="I85">IF(E85="Abstract","a",LOWER(_xlfn.CONCAT(LEFT(INDEX(_xlfn.TEXTSPLIT(E85," "),1),1),INDEX(_xlfn.TEXTSPLIT(E85," "),2))))</f>
        <v>s1</v>
      </c>
      <c r="J85" s="8">
        <v>3</v>
      </c>
      <c r="K85" s="9"/>
      <c r="L85" s="10"/>
      <c r="M85" s="11"/>
      <c r="N85" s="12"/>
      <c r="O85" s="13"/>
      <c r="P85" s="14"/>
      <c r="Q85" s="21"/>
      <c r="R85" s="22">
        <v>3</v>
      </c>
      <c r="S85" s="23"/>
      <c r="T85" s="15"/>
      <c r="U85" s="16"/>
      <c r="W85" s="6" t="str">
        <f>IF(G85-J85-SUM(K85:U85),G85-J85-SUM(K85:U85),"")</f>
        <v/>
      </c>
    </row>
    <row r="86" spans="1:23" x14ac:dyDescent="0.2">
      <c r="A86" s="7" t="str">
        <f t="shared" si="1"/>
        <v>acsmacrolett/4c00313_f1</v>
      </c>
      <c r="B86" s="7" t="s">
        <v>20</v>
      </c>
      <c r="C86" s="17" t="s">
        <v>90</v>
      </c>
      <c r="D86" s="7" t="s">
        <v>22</v>
      </c>
      <c r="E86" s="7" t="s">
        <v>23</v>
      </c>
      <c r="F86" s="7" t="s">
        <v>33</v>
      </c>
      <c r="G86" s="8">
        <v>1</v>
      </c>
      <c r="H86" s="8" t="str" cm="1">
        <f t="array" ref="H86">INDEX(_xlfn.TEXTSPLIT(INDEX(_xlfn.TEXTSPLIT(C86, "/"), 5), "."), 1)</f>
        <v>acsmacrolett</v>
      </c>
      <c r="I86" s="8" t="str" cm="1">
        <f t="array" ref="I86">IF(E86="Abstract","a",LOWER(_xlfn.CONCAT(LEFT(INDEX(_xlfn.TEXTSPLIT(E86," "),1),1),INDEX(_xlfn.TEXTSPLIT(E86," "),2))))</f>
        <v>f1</v>
      </c>
      <c r="J86" s="8">
        <v>1</v>
      </c>
      <c r="K86" s="9"/>
      <c r="L86" s="10"/>
      <c r="M86" s="11"/>
      <c r="N86" s="12"/>
      <c r="O86" s="13"/>
      <c r="P86" s="14"/>
      <c r="Q86" s="21"/>
      <c r="R86" s="22"/>
      <c r="S86" s="23"/>
      <c r="T86" s="15"/>
      <c r="U86" s="16"/>
      <c r="W86" t="str">
        <f>IF(G86-J86-SUM(K86:U86),G86-J86-SUM(K86:U86),"")</f>
        <v/>
      </c>
    </row>
    <row r="87" spans="1:23" x14ac:dyDescent="0.2">
      <c r="A87" s="7" t="str">
        <f t="shared" si="1"/>
        <v>acsmacrolett/4c00313_f2</v>
      </c>
      <c r="B87" s="7" t="s">
        <v>20</v>
      </c>
      <c r="C87" s="17" t="s">
        <v>90</v>
      </c>
      <c r="D87" s="7" t="s">
        <v>22</v>
      </c>
      <c r="E87" s="7" t="s">
        <v>29</v>
      </c>
      <c r="F87" s="7" t="s">
        <v>33</v>
      </c>
      <c r="G87" s="7">
        <v>1</v>
      </c>
      <c r="H87" s="7" t="str" cm="1">
        <f t="array" ref="H87">INDEX(_xlfn.TEXTSPLIT(INDEX(_xlfn.TEXTSPLIT(C87, "/"), 5), "."), 1)</f>
        <v>acsmacrolett</v>
      </c>
      <c r="I87" s="7" t="str" cm="1">
        <f t="array" ref="I87">IF(E87="Abstract","a",LOWER(_xlfn.CONCAT(LEFT(INDEX(_xlfn.TEXTSPLIT(E87," "),1),1),INDEX(_xlfn.TEXTSPLIT(E87," "),2))))</f>
        <v>f2</v>
      </c>
      <c r="J87" s="7">
        <v>1</v>
      </c>
      <c r="K87" s="9"/>
      <c r="L87" s="10"/>
      <c r="M87" s="11"/>
      <c r="N87" s="12"/>
      <c r="O87" s="13"/>
      <c r="P87" s="14"/>
      <c r="Q87" s="21"/>
      <c r="R87" s="22"/>
      <c r="S87" s="23"/>
      <c r="T87" s="15"/>
      <c r="U87" s="16"/>
      <c r="W87" t="str">
        <f>IF(G87-J87-SUM(K87:U87),G87-J87-SUM(K87:U87),"")</f>
        <v/>
      </c>
    </row>
    <row r="88" spans="1:23" x14ac:dyDescent="0.2">
      <c r="A88" s="7" t="str">
        <f t="shared" si="1"/>
        <v>acsmacrolett/4c00321_f1</v>
      </c>
      <c r="B88" s="7" t="s">
        <v>20</v>
      </c>
      <c r="C88" s="17" t="s">
        <v>91</v>
      </c>
      <c r="D88" s="7" t="s">
        <v>22</v>
      </c>
      <c r="E88" s="7" t="s">
        <v>23</v>
      </c>
      <c r="F88" s="7" t="s">
        <v>33</v>
      </c>
      <c r="G88" s="7">
        <v>2</v>
      </c>
      <c r="H88" s="7" t="str" cm="1">
        <f t="array" ref="H88">INDEX(_xlfn.TEXTSPLIT(INDEX(_xlfn.TEXTSPLIT(C88, "/"), 5), "."), 1)</f>
        <v>acsmacrolett</v>
      </c>
      <c r="I88" s="7" t="str" cm="1">
        <f t="array" ref="I88">IF(E88="Abstract","a",LOWER(_xlfn.CONCAT(LEFT(INDEX(_xlfn.TEXTSPLIT(E88," "),1),1),INDEX(_xlfn.TEXTSPLIT(E88," "),2))))</f>
        <v>f1</v>
      </c>
      <c r="J88" s="7"/>
      <c r="K88" s="9"/>
      <c r="L88" s="10"/>
      <c r="M88" s="11">
        <v>2</v>
      </c>
      <c r="N88" s="12"/>
      <c r="O88" s="13"/>
      <c r="P88" s="14"/>
      <c r="Q88" s="21"/>
      <c r="R88" s="22"/>
      <c r="S88" s="23"/>
      <c r="T88" s="15"/>
      <c r="U88" s="16"/>
      <c r="W88" t="str">
        <f>IF(G88-J88-SUM(K88:U88),G88-J88-SUM(K88:U88),"")</f>
        <v/>
      </c>
    </row>
    <row r="89" spans="1:23" x14ac:dyDescent="0.2">
      <c r="A89" s="7" t="str">
        <f t="shared" si="1"/>
        <v>acsmacrolett/4c00368_f1</v>
      </c>
      <c r="B89" s="7" t="s">
        <v>20</v>
      </c>
      <c r="C89" s="17" t="s">
        <v>92</v>
      </c>
      <c r="D89" s="7" t="s">
        <v>22</v>
      </c>
      <c r="E89" s="7" t="s">
        <v>23</v>
      </c>
      <c r="F89" s="7" t="s">
        <v>40</v>
      </c>
      <c r="G89" s="7">
        <v>1</v>
      </c>
      <c r="H89" s="7" t="str" cm="1">
        <f t="array" ref="H89">INDEX(_xlfn.TEXTSPLIT(INDEX(_xlfn.TEXTSPLIT(C89, "/"), 5), "."), 1)</f>
        <v>acsmacrolett</v>
      </c>
      <c r="I89" s="7" t="str" cm="1">
        <f t="array" ref="I89">IF(E89="Abstract","a",LOWER(_xlfn.CONCAT(LEFT(INDEX(_xlfn.TEXTSPLIT(E89," "),1),1),INDEX(_xlfn.TEXTSPLIT(E89," "),2))))</f>
        <v>f1</v>
      </c>
      <c r="J89" s="7">
        <v>1</v>
      </c>
      <c r="K89" s="9"/>
      <c r="L89" s="10"/>
      <c r="M89" s="11"/>
      <c r="N89" s="12"/>
      <c r="O89" s="13"/>
      <c r="P89" s="14"/>
      <c r="Q89" s="21"/>
      <c r="R89" s="22"/>
      <c r="S89" s="23"/>
      <c r="T89" s="15"/>
      <c r="U89" s="16"/>
      <c r="W89" t="str">
        <f>IF(G89-J89-SUM(K89:U89),G89-J89-SUM(K89:U89),"")</f>
        <v/>
      </c>
    </row>
    <row r="90" spans="1:23" x14ac:dyDescent="0.2">
      <c r="A90" s="7" t="str">
        <f t="shared" si="1"/>
        <v>acsmacrolett/4c00400_f1</v>
      </c>
      <c r="B90" s="7" t="s">
        <v>20</v>
      </c>
      <c r="C90" s="17" t="s">
        <v>93</v>
      </c>
      <c r="D90" s="7" t="s">
        <v>22</v>
      </c>
      <c r="E90" s="7" t="s">
        <v>23</v>
      </c>
      <c r="F90" s="7" t="s">
        <v>33</v>
      </c>
      <c r="G90" s="7">
        <v>2</v>
      </c>
      <c r="H90" s="7" t="str" cm="1">
        <f t="array" ref="H90">INDEX(_xlfn.TEXTSPLIT(INDEX(_xlfn.TEXTSPLIT(C90, "/"), 5), "."), 1)</f>
        <v>acsmacrolett</v>
      </c>
      <c r="I90" s="7" t="str" cm="1">
        <f t="array" ref="I90">IF(E90="Abstract","a",LOWER(_xlfn.CONCAT(LEFT(INDEX(_xlfn.TEXTSPLIT(E90," "),1),1),INDEX(_xlfn.TEXTSPLIT(E90," "),2))))</f>
        <v>f1</v>
      </c>
      <c r="J90" s="7"/>
      <c r="K90" s="9"/>
      <c r="L90" s="10"/>
      <c r="M90" s="11"/>
      <c r="N90" s="12">
        <v>2</v>
      </c>
      <c r="O90" s="13"/>
      <c r="P90" s="14"/>
      <c r="Q90" s="21"/>
      <c r="R90" s="22"/>
      <c r="S90" s="23"/>
      <c r="T90" s="15"/>
      <c r="U90" s="16"/>
      <c r="W90" t="str">
        <f>IF(G90-J90-SUM(K90:U90),G90-J90-SUM(K90:U90),"")</f>
        <v/>
      </c>
    </row>
    <row r="91" spans="1:23" x14ac:dyDescent="0.2">
      <c r="A91" s="7" t="str">
        <f t="shared" si="1"/>
        <v>acsmacrolett/4c00404_f1</v>
      </c>
      <c r="B91" s="7" t="s">
        <v>20</v>
      </c>
      <c r="C91" s="17" t="s">
        <v>94</v>
      </c>
      <c r="D91" s="7" t="s">
        <v>22</v>
      </c>
      <c r="E91" s="7" t="s">
        <v>23</v>
      </c>
      <c r="F91" s="7" t="s">
        <v>33</v>
      </c>
      <c r="G91" s="7">
        <v>2</v>
      </c>
      <c r="H91" s="7" t="str" cm="1">
        <f t="array" ref="H91">INDEX(_xlfn.TEXTSPLIT(INDEX(_xlfn.TEXTSPLIT(C91, "/"), 5), "."), 1)</f>
        <v>acsmacrolett</v>
      </c>
      <c r="I91" s="7" t="str" cm="1">
        <f t="array" ref="I91">IF(E91="Abstract","a",LOWER(_xlfn.CONCAT(LEFT(INDEX(_xlfn.TEXTSPLIT(E91," "),1),1),INDEX(_xlfn.TEXTSPLIT(E91," "),2))))</f>
        <v>f1</v>
      </c>
      <c r="J91" s="7">
        <v>1</v>
      </c>
      <c r="K91" s="9"/>
      <c r="L91" s="10">
        <v>1</v>
      </c>
      <c r="M91" s="11"/>
      <c r="N91" s="12"/>
      <c r="O91" s="13"/>
      <c r="P91" s="14"/>
      <c r="Q91" s="21"/>
      <c r="R91" s="22"/>
      <c r="S91" s="23"/>
      <c r="T91" s="15"/>
      <c r="U91" s="16"/>
      <c r="W91" t="str">
        <f>IF(G91-J91-SUM(K91:U91),G91-J91-SUM(K91:U91),"")</f>
        <v/>
      </c>
    </row>
    <row r="92" spans="1:23" x14ac:dyDescent="0.2">
      <c r="A92" s="7" t="str">
        <f t="shared" si="1"/>
        <v>acsmacrolett/4c00461_s1</v>
      </c>
      <c r="B92" s="7" t="s">
        <v>20</v>
      </c>
      <c r="C92" s="17" t="s">
        <v>95</v>
      </c>
      <c r="D92" s="7" t="s">
        <v>22</v>
      </c>
      <c r="E92" s="7" t="s">
        <v>31</v>
      </c>
      <c r="F92" s="7" t="s">
        <v>40</v>
      </c>
      <c r="G92" s="7">
        <v>4</v>
      </c>
      <c r="H92" s="7" t="str" cm="1">
        <f t="array" ref="H92">INDEX(_xlfn.TEXTSPLIT(INDEX(_xlfn.TEXTSPLIT(C92, "/"), 5), "."), 1)</f>
        <v>acsmacrolett</v>
      </c>
      <c r="I92" s="7" t="str" cm="1">
        <f t="array" ref="I92">IF(E92="Abstract","a",LOWER(_xlfn.CONCAT(LEFT(INDEX(_xlfn.TEXTSPLIT(E92," "),1),1),INDEX(_xlfn.TEXTSPLIT(E92," "),2))))</f>
        <v>s1</v>
      </c>
      <c r="J92" s="7">
        <v>2</v>
      </c>
      <c r="K92" s="9"/>
      <c r="L92" s="10">
        <v>1</v>
      </c>
      <c r="M92" s="11"/>
      <c r="N92" s="12"/>
      <c r="O92" s="13">
        <v>1</v>
      </c>
      <c r="P92" s="14"/>
      <c r="Q92" s="21"/>
      <c r="R92" s="22"/>
      <c r="S92" s="23"/>
      <c r="T92" s="15"/>
      <c r="U92" s="16"/>
      <c r="W92" t="str">
        <f>IF(G92-J92-SUM(K92:U92),G92-J92-SUM(K92:U92),"")</f>
        <v/>
      </c>
    </row>
    <row r="93" spans="1:23" x14ac:dyDescent="0.2">
      <c r="A93" s="7" t="str">
        <f t="shared" si="1"/>
        <v>acsmacrolett/4c00461_s2</v>
      </c>
      <c r="B93" s="7" t="s">
        <v>20</v>
      </c>
      <c r="C93" s="17" t="s">
        <v>95</v>
      </c>
      <c r="D93" s="7" t="s">
        <v>22</v>
      </c>
      <c r="E93" s="7" t="s">
        <v>55</v>
      </c>
      <c r="F93" s="7" t="s">
        <v>40</v>
      </c>
      <c r="G93" s="7">
        <v>5</v>
      </c>
      <c r="H93" s="7" t="str" cm="1">
        <f t="array" ref="H93">INDEX(_xlfn.TEXTSPLIT(INDEX(_xlfn.TEXTSPLIT(C93, "/"), 5), "."), 1)</f>
        <v>acsmacrolett</v>
      </c>
      <c r="I93" s="7" t="str" cm="1">
        <f t="array" ref="I93">IF(E93="Abstract","a",LOWER(_xlfn.CONCAT(LEFT(INDEX(_xlfn.TEXTSPLIT(E93," "),1),1),INDEX(_xlfn.TEXTSPLIT(E93," "),2))))</f>
        <v>s2</v>
      </c>
      <c r="J93" s="7">
        <v>1</v>
      </c>
      <c r="K93" s="9"/>
      <c r="L93" s="10"/>
      <c r="M93" s="11"/>
      <c r="N93" s="12"/>
      <c r="O93" s="13">
        <v>4</v>
      </c>
      <c r="P93" s="14"/>
      <c r="Q93" s="21"/>
      <c r="R93" s="22"/>
      <c r="S93" s="23"/>
      <c r="T93" s="15"/>
      <c r="U93" s="16"/>
      <c r="W93" t="str">
        <f>IF(G93-J93-SUM(K93:U93),G93-J93-SUM(K93:U93),"")</f>
        <v/>
      </c>
    </row>
    <row r="94" spans="1:23" x14ac:dyDescent="0.2">
      <c r="A94" s="7" t="str">
        <f t="shared" si="1"/>
        <v>acsmacrolett/4c00463_s1</v>
      </c>
      <c r="B94" s="7" t="s">
        <v>20</v>
      </c>
      <c r="C94" s="17" t="s">
        <v>96</v>
      </c>
      <c r="D94" s="7" t="s">
        <v>22</v>
      </c>
      <c r="E94" s="7" t="s">
        <v>31</v>
      </c>
      <c r="F94" s="7" t="s">
        <v>33</v>
      </c>
      <c r="G94" s="7">
        <v>7</v>
      </c>
      <c r="H94" s="7" t="str" cm="1">
        <f t="array" ref="H94">INDEX(_xlfn.TEXTSPLIT(INDEX(_xlfn.TEXTSPLIT(C94, "/"), 5), "."), 1)</f>
        <v>acsmacrolett</v>
      </c>
      <c r="I94" s="7" t="str" cm="1">
        <f t="array" ref="I94">IF(E94="Abstract","a",LOWER(_xlfn.CONCAT(LEFT(INDEX(_xlfn.TEXTSPLIT(E94," "),1),1),INDEX(_xlfn.TEXTSPLIT(E94," "),2))))</f>
        <v>s1</v>
      </c>
      <c r="J94" s="7">
        <v>6</v>
      </c>
      <c r="K94" s="9"/>
      <c r="L94" s="10"/>
      <c r="M94" s="11"/>
      <c r="N94" s="12"/>
      <c r="O94" s="13"/>
      <c r="P94" s="14"/>
      <c r="Q94" s="21"/>
      <c r="R94" s="22"/>
      <c r="S94" s="23">
        <v>1</v>
      </c>
      <c r="T94" s="15"/>
      <c r="U94" s="16"/>
      <c r="W94" t="str">
        <f>IF(G94-J94-SUM(K94:U94),G94-J94-SUM(K94:U94),"")</f>
        <v/>
      </c>
    </row>
    <row r="95" spans="1:23" x14ac:dyDescent="0.2">
      <c r="A95" s="7" t="str">
        <f t="shared" si="1"/>
        <v>acsmacrolett/4c00534_f1</v>
      </c>
      <c r="B95" s="7" t="s">
        <v>20</v>
      </c>
      <c r="C95" s="17" t="s">
        <v>97</v>
      </c>
      <c r="D95" s="7" t="s">
        <v>22</v>
      </c>
      <c r="E95" s="7" t="s">
        <v>23</v>
      </c>
      <c r="F95" s="7" t="s">
        <v>33</v>
      </c>
      <c r="G95" s="7">
        <v>1</v>
      </c>
      <c r="H95" s="7" t="str" cm="1">
        <f t="array" ref="H95">INDEX(_xlfn.TEXTSPLIT(INDEX(_xlfn.TEXTSPLIT(C95, "/"), 5), "."), 1)</f>
        <v>acsmacrolett</v>
      </c>
      <c r="I95" s="7" t="str" cm="1">
        <f t="array" ref="I95">IF(E95="Abstract","a",LOWER(_xlfn.CONCAT(LEFT(INDEX(_xlfn.TEXTSPLIT(E95," "),1),1),INDEX(_xlfn.TEXTSPLIT(E95," "),2))))</f>
        <v>f1</v>
      </c>
      <c r="J95" s="7">
        <v>1</v>
      </c>
      <c r="K95" s="9"/>
      <c r="L95" s="10"/>
      <c r="M95" s="11"/>
      <c r="N95" s="12"/>
      <c r="O95" s="13"/>
      <c r="P95" s="14"/>
      <c r="Q95" s="21"/>
      <c r="R95" s="22"/>
      <c r="S95" s="23"/>
      <c r="T95" s="15"/>
      <c r="U95" s="16"/>
      <c r="W95" t="str">
        <f>IF(G95-J95-SUM(K95:U95),G95-J95-SUM(K95:U95),"")</f>
        <v/>
      </c>
    </row>
    <row r="96" spans="1:23" x14ac:dyDescent="0.2">
      <c r="A96" s="7" t="str">
        <f t="shared" si="1"/>
        <v>acsmacrolett/4c00550_a</v>
      </c>
      <c r="B96" s="7" t="s">
        <v>20</v>
      </c>
      <c r="C96" s="17" t="s">
        <v>98</v>
      </c>
      <c r="D96" s="7" t="s">
        <v>22</v>
      </c>
      <c r="E96" s="7" t="s">
        <v>47</v>
      </c>
      <c r="F96" s="7" t="s">
        <v>33</v>
      </c>
      <c r="G96" s="7">
        <v>1</v>
      </c>
      <c r="H96" s="7" t="str" cm="1">
        <f t="array" ref="H96">INDEX(_xlfn.TEXTSPLIT(INDEX(_xlfn.TEXTSPLIT(C96, "/"), 5), "."), 1)</f>
        <v>acsmacrolett</v>
      </c>
      <c r="I96" s="7" t="str" cm="1">
        <f t="array" ref="I96">IF(E96="Abstract","a",LOWER(_xlfn.CONCAT(LEFT(INDEX(_xlfn.TEXTSPLIT(E96," "),1),1),INDEX(_xlfn.TEXTSPLIT(E96," "),2))))</f>
        <v>a</v>
      </c>
      <c r="J96" s="7"/>
      <c r="K96" s="9"/>
      <c r="L96" s="10">
        <v>1</v>
      </c>
      <c r="M96" s="11"/>
      <c r="N96" s="12"/>
      <c r="O96" s="13"/>
      <c r="P96" s="14"/>
      <c r="Q96" s="21"/>
      <c r="R96" s="22"/>
      <c r="S96" s="23"/>
      <c r="T96" s="15"/>
      <c r="U96" s="16"/>
      <c r="W96" t="str">
        <f>IF(G96-J96-SUM(K96:U96),G96-J96-SUM(K96:U96),"")</f>
        <v/>
      </c>
    </row>
    <row r="97" spans="1:23" x14ac:dyDescent="0.2">
      <c r="A97" s="7" t="str">
        <f t="shared" si="1"/>
        <v>acsmacrolett/4c00550_f3</v>
      </c>
      <c r="B97" s="7" t="s">
        <v>20</v>
      </c>
      <c r="C97" s="17" t="s">
        <v>98</v>
      </c>
      <c r="D97" s="7" t="s">
        <v>22</v>
      </c>
      <c r="E97" s="7" t="s">
        <v>44</v>
      </c>
      <c r="F97" s="7" t="s">
        <v>33</v>
      </c>
      <c r="G97" s="7">
        <v>1</v>
      </c>
      <c r="H97" s="7" t="str" cm="1">
        <f t="array" ref="H97">INDEX(_xlfn.TEXTSPLIT(INDEX(_xlfn.TEXTSPLIT(C97, "/"), 5), "."), 1)</f>
        <v>acsmacrolett</v>
      </c>
      <c r="I97" s="7" t="str" cm="1">
        <f t="array" ref="I97">IF(E97="Abstract","a",LOWER(_xlfn.CONCAT(LEFT(INDEX(_xlfn.TEXTSPLIT(E97," "),1),1),INDEX(_xlfn.TEXTSPLIT(E97," "),2))))</f>
        <v>f3</v>
      </c>
      <c r="J97" s="7"/>
      <c r="K97" s="9"/>
      <c r="L97" s="10">
        <v>1</v>
      </c>
      <c r="M97" s="11"/>
      <c r="N97" s="12"/>
      <c r="O97" s="13"/>
      <c r="P97" s="14"/>
      <c r="Q97" s="21"/>
      <c r="R97" s="22"/>
      <c r="S97" s="23"/>
      <c r="T97" s="15"/>
      <c r="U97" s="16"/>
      <c r="W97" t="str">
        <f>IF(G97-J97-SUM(K97:U97),G97-J97-SUM(K97:U97),"")</f>
        <v/>
      </c>
    </row>
    <row r="98" spans="1:23" x14ac:dyDescent="0.2">
      <c r="A98" s="7" t="str">
        <f t="shared" si="1"/>
        <v>acsmacrolett/4c00556_a</v>
      </c>
      <c r="B98" s="7" t="s">
        <v>20</v>
      </c>
      <c r="C98" s="17" t="s">
        <v>99</v>
      </c>
      <c r="D98" s="7" t="s">
        <v>22</v>
      </c>
      <c r="E98" s="7" t="s">
        <v>47</v>
      </c>
      <c r="F98" s="7" t="s">
        <v>33</v>
      </c>
      <c r="G98" s="7">
        <v>4</v>
      </c>
      <c r="H98" s="7" t="str" cm="1">
        <f t="array" ref="H98">INDEX(_xlfn.TEXTSPLIT(INDEX(_xlfn.TEXTSPLIT(C98, "/"), 5), "."), 1)</f>
        <v>acsmacrolett</v>
      </c>
      <c r="I98" s="7" t="str" cm="1">
        <f t="array" ref="I98">IF(E98="Abstract","a",LOWER(_xlfn.CONCAT(LEFT(INDEX(_xlfn.TEXTSPLIT(E98," "),1),1),INDEX(_xlfn.TEXTSPLIT(E98," "),2))))</f>
        <v>a</v>
      </c>
      <c r="J98" s="7">
        <v>4</v>
      </c>
      <c r="K98" s="9"/>
      <c r="L98" s="10"/>
      <c r="M98" s="11"/>
      <c r="N98" s="12"/>
      <c r="O98" s="13"/>
      <c r="P98" s="14"/>
      <c r="Q98" s="21"/>
      <c r="R98" s="22"/>
      <c r="S98" s="23"/>
      <c r="T98" s="15"/>
      <c r="U98" s="16"/>
      <c r="W98" t="str">
        <f>IF(G98-J98-SUM(K98:U98),G98-J98-SUM(K98:U98),"")</f>
        <v/>
      </c>
    </row>
    <row r="99" spans="1:23" x14ac:dyDescent="0.2">
      <c r="A99" s="7" t="str">
        <f t="shared" si="1"/>
        <v>acsmacrolett/4c00556_f1</v>
      </c>
      <c r="B99" s="7" t="s">
        <v>20</v>
      </c>
      <c r="C99" s="17" t="s">
        <v>99</v>
      </c>
      <c r="D99" s="7" t="s">
        <v>22</v>
      </c>
      <c r="E99" s="7" t="s">
        <v>23</v>
      </c>
      <c r="F99" s="7" t="s">
        <v>33</v>
      </c>
      <c r="G99" s="7">
        <v>1</v>
      </c>
      <c r="H99" s="7" t="str" cm="1">
        <f t="array" ref="H99">INDEX(_xlfn.TEXTSPLIT(INDEX(_xlfn.TEXTSPLIT(C99, "/"), 5), "."), 1)</f>
        <v>acsmacrolett</v>
      </c>
      <c r="I99" s="7" t="str" cm="1">
        <f t="array" ref="I99">IF(E99="Abstract","a",LOWER(_xlfn.CONCAT(LEFT(INDEX(_xlfn.TEXTSPLIT(E99," "),1),1),INDEX(_xlfn.TEXTSPLIT(E99," "),2))))</f>
        <v>f1</v>
      </c>
      <c r="J99" s="7"/>
      <c r="K99" s="9"/>
      <c r="L99" s="10">
        <v>1</v>
      </c>
      <c r="M99" s="11"/>
      <c r="N99" s="12"/>
      <c r="O99" s="13"/>
      <c r="P99" s="14"/>
      <c r="Q99" s="21"/>
      <c r="R99" s="22"/>
      <c r="S99" s="23"/>
      <c r="T99" s="15"/>
      <c r="U99" s="16"/>
      <c r="W99" t="str">
        <f>IF(G99-J99-SUM(K99:U99),G99-J99-SUM(K99:U99),"")</f>
        <v/>
      </c>
    </row>
    <row r="100" spans="1:23" x14ac:dyDescent="0.2">
      <c r="A100" s="7" t="str">
        <f t="shared" si="1"/>
        <v>acsmacrolett/4c00556_f2</v>
      </c>
      <c r="B100" s="7" t="s">
        <v>20</v>
      </c>
      <c r="C100" s="17" t="s">
        <v>99</v>
      </c>
      <c r="D100" s="7" t="s">
        <v>22</v>
      </c>
      <c r="E100" s="7" t="s">
        <v>29</v>
      </c>
      <c r="F100" s="7" t="s">
        <v>33</v>
      </c>
      <c r="G100" s="7">
        <v>1</v>
      </c>
      <c r="H100" s="7" t="str" cm="1">
        <f t="array" ref="H100">INDEX(_xlfn.TEXTSPLIT(INDEX(_xlfn.TEXTSPLIT(C100, "/"), 5), "."), 1)</f>
        <v>acsmacrolett</v>
      </c>
      <c r="I100" s="7" t="str" cm="1">
        <f t="array" ref="I100">IF(E100="Abstract","a",LOWER(_xlfn.CONCAT(LEFT(INDEX(_xlfn.TEXTSPLIT(E100," "),1),1),INDEX(_xlfn.TEXTSPLIT(E100," "),2))))</f>
        <v>f2</v>
      </c>
      <c r="J100" s="7">
        <v>1</v>
      </c>
      <c r="K100" s="9"/>
      <c r="L100" s="10"/>
      <c r="M100" s="11"/>
      <c r="N100" s="12"/>
      <c r="O100" s="13"/>
      <c r="P100" s="14"/>
      <c r="Q100" s="21"/>
      <c r="R100" s="22"/>
      <c r="S100" s="23"/>
      <c r="T100" s="15"/>
      <c r="U100" s="16"/>
      <c r="W100" t="str">
        <f>IF(G100-J100-SUM(K100:U100),G100-J100-SUM(K100:U100),"")</f>
        <v/>
      </c>
    </row>
    <row r="101" spans="1:23" x14ac:dyDescent="0.2">
      <c r="A101" s="7" t="str">
        <f t="shared" si="1"/>
        <v>acsmacrolett/4c00642_f1</v>
      </c>
      <c r="B101" s="7" t="s">
        <v>20</v>
      </c>
      <c r="C101" s="17" t="s">
        <v>100</v>
      </c>
      <c r="D101" s="7" t="s">
        <v>22</v>
      </c>
      <c r="E101" s="7" t="s">
        <v>23</v>
      </c>
      <c r="F101" s="7" t="s">
        <v>33</v>
      </c>
      <c r="G101" s="7">
        <v>1</v>
      </c>
      <c r="H101" s="7" t="str" cm="1">
        <f t="array" ref="H101">INDEX(_xlfn.TEXTSPLIT(INDEX(_xlfn.TEXTSPLIT(C101, "/"), 5), "."), 1)</f>
        <v>acsmacrolett</v>
      </c>
      <c r="I101" s="7" t="str" cm="1">
        <f t="array" ref="I101">IF(E101="Abstract","a",LOWER(_xlfn.CONCAT(LEFT(INDEX(_xlfn.TEXTSPLIT(E101," "),1),1),INDEX(_xlfn.TEXTSPLIT(E101," "),2))))</f>
        <v>f1</v>
      </c>
      <c r="J101" s="7">
        <v>1</v>
      </c>
      <c r="K101" s="9"/>
      <c r="L101" s="10"/>
      <c r="M101" s="11"/>
      <c r="N101" s="12"/>
      <c r="O101" s="13"/>
      <c r="P101" s="14"/>
      <c r="Q101" s="21"/>
      <c r="R101" s="22"/>
      <c r="S101" s="23"/>
      <c r="T101" s="15"/>
      <c r="U101" s="16"/>
      <c r="W101" t="str">
        <f>IF(G101-J101-SUM(K101:U101),G101-J101-SUM(K101:U101),"")</f>
        <v/>
      </c>
    </row>
    <row r="102" spans="1:23" x14ac:dyDescent="0.2">
      <c r="A102" s="7" t="str">
        <f t="shared" si="1"/>
        <v>acsmacrolett/4c00651_s1</v>
      </c>
      <c r="B102" s="7" t="s">
        <v>20</v>
      </c>
      <c r="C102" s="17" t="s">
        <v>101</v>
      </c>
      <c r="D102" s="7" t="s">
        <v>22</v>
      </c>
      <c r="E102" s="7" t="s">
        <v>31</v>
      </c>
      <c r="F102" s="7" t="s">
        <v>33</v>
      </c>
      <c r="G102" s="7">
        <v>1</v>
      </c>
      <c r="H102" s="7" t="str" cm="1">
        <f t="array" ref="H102">INDEX(_xlfn.TEXTSPLIT(INDEX(_xlfn.TEXTSPLIT(C102, "/"), 5), "."), 1)</f>
        <v>acsmacrolett</v>
      </c>
      <c r="I102" s="7" t="str" cm="1">
        <f t="array" ref="I102">IF(E102="Abstract","a",LOWER(_xlfn.CONCAT(LEFT(INDEX(_xlfn.TEXTSPLIT(E102," "),1),1),INDEX(_xlfn.TEXTSPLIT(E102," "),2))))</f>
        <v>s1</v>
      </c>
      <c r="J102" s="7"/>
      <c r="K102" s="9">
        <v>1</v>
      </c>
      <c r="L102" s="10"/>
      <c r="M102" s="11"/>
      <c r="N102" s="12"/>
      <c r="O102" s="13"/>
      <c r="P102" s="14"/>
      <c r="Q102" s="21"/>
      <c r="R102" s="22"/>
      <c r="S102" s="23"/>
      <c r="T102" s="15"/>
      <c r="U102" s="16"/>
      <c r="W102" t="str">
        <f>IF(G102-J102-SUM(K102:U102),G102-J102-SUM(K102:U102),"")</f>
        <v/>
      </c>
    </row>
    <row r="103" spans="1:23" x14ac:dyDescent="0.2">
      <c r="A103" s="7" t="str">
        <f t="shared" si="1"/>
        <v>acsmacrolett/4c00665_f1</v>
      </c>
      <c r="B103" s="7" t="s">
        <v>20</v>
      </c>
      <c r="C103" s="17" t="s">
        <v>102</v>
      </c>
      <c r="D103" s="7" t="s">
        <v>22</v>
      </c>
      <c r="E103" s="7" t="s">
        <v>23</v>
      </c>
      <c r="F103" s="7" t="s">
        <v>40</v>
      </c>
      <c r="G103" s="7">
        <v>1</v>
      </c>
      <c r="H103" s="7" t="str" cm="1">
        <f t="array" ref="H103">INDEX(_xlfn.TEXTSPLIT(INDEX(_xlfn.TEXTSPLIT(C103, "/"), 5), "."), 1)</f>
        <v>acsmacrolett</v>
      </c>
      <c r="I103" s="7" t="str" cm="1">
        <f t="array" ref="I103">IF(E103="Abstract","a",LOWER(_xlfn.CONCAT(LEFT(INDEX(_xlfn.TEXTSPLIT(E103," "),1),1),INDEX(_xlfn.TEXTSPLIT(E103," "),2))))</f>
        <v>f1</v>
      </c>
      <c r="J103" s="7"/>
      <c r="K103" s="9"/>
      <c r="L103" s="10">
        <v>1</v>
      </c>
      <c r="M103" s="11"/>
      <c r="N103" s="12"/>
      <c r="O103" s="13"/>
      <c r="P103" s="14"/>
      <c r="Q103" s="21"/>
      <c r="R103" s="22"/>
      <c r="S103" s="23"/>
      <c r="T103" s="15"/>
      <c r="U103" s="16"/>
      <c r="W103" t="str">
        <f>IF(G103-J103-SUM(K103:U103),G103-J103-SUM(K103:U103),"")</f>
        <v/>
      </c>
    </row>
    <row r="104" spans="1:23" x14ac:dyDescent="0.2">
      <c r="A104" s="7" t="str">
        <f t="shared" si="1"/>
        <v>acsmacrolett/4c00675_f1</v>
      </c>
      <c r="B104" s="7" t="s">
        <v>20</v>
      </c>
      <c r="C104" s="17" t="s">
        <v>103</v>
      </c>
      <c r="D104" s="7" t="s">
        <v>22</v>
      </c>
      <c r="E104" s="7" t="s">
        <v>23</v>
      </c>
      <c r="F104" s="7" t="s">
        <v>40</v>
      </c>
      <c r="G104" s="7">
        <v>2</v>
      </c>
      <c r="H104" s="7" t="str" cm="1">
        <f t="array" ref="H104">INDEX(_xlfn.TEXTSPLIT(INDEX(_xlfn.TEXTSPLIT(C104, "/"), 5), "."), 1)</f>
        <v>acsmacrolett</v>
      </c>
      <c r="I104" s="7" t="str" cm="1">
        <f t="array" ref="I104">IF(E104="Abstract","a",LOWER(_xlfn.CONCAT(LEFT(INDEX(_xlfn.TEXTSPLIT(E104," "),1),1),INDEX(_xlfn.TEXTSPLIT(E104," "),2))))</f>
        <v>f1</v>
      </c>
      <c r="J104" s="7"/>
      <c r="K104" s="9"/>
      <c r="L104" s="10">
        <v>2</v>
      </c>
      <c r="M104" s="11"/>
      <c r="N104" s="12"/>
      <c r="O104" s="13"/>
      <c r="P104" s="14"/>
      <c r="Q104" s="21"/>
      <c r="R104" s="22"/>
      <c r="S104" s="23"/>
      <c r="T104" s="15"/>
      <c r="U104" s="16"/>
      <c r="W104" t="str">
        <f>IF(G104-J104-SUM(K104:U104),G104-J104-SUM(K104:U104),"")</f>
        <v/>
      </c>
    </row>
    <row r="105" spans="1:23" x14ac:dyDescent="0.2">
      <c r="A105" s="7" t="str">
        <f t="shared" si="1"/>
        <v>acsmacrolett/4c00675_f2</v>
      </c>
      <c r="B105" s="7" t="s">
        <v>20</v>
      </c>
      <c r="C105" s="17" t="s">
        <v>103</v>
      </c>
      <c r="D105" s="7" t="s">
        <v>22</v>
      </c>
      <c r="E105" s="7" t="s">
        <v>29</v>
      </c>
      <c r="F105" s="7" t="s">
        <v>40</v>
      </c>
      <c r="G105" s="7">
        <v>2</v>
      </c>
      <c r="H105" s="7" t="str" cm="1">
        <f t="array" ref="H105">INDEX(_xlfn.TEXTSPLIT(INDEX(_xlfn.TEXTSPLIT(C105, "/"), 5), "."), 1)</f>
        <v>acsmacrolett</v>
      </c>
      <c r="I105" s="7" t="str" cm="1">
        <f t="array" ref="I105">IF(E105="Abstract","a",LOWER(_xlfn.CONCAT(LEFT(INDEX(_xlfn.TEXTSPLIT(E105," "),1),1),INDEX(_xlfn.TEXTSPLIT(E105," "),2))))</f>
        <v>f2</v>
      </c>
      <c r="J105" s="7">
        <v>1</v>
      </c>
      <c r="K105" s="9"/>
      <c r="L105" s="10">
        <v>1</v>
      </c>
      <c r="M105" s="11"/>
      <c r="N105" s="12"/>
      <c r="O105" s="13"/>
      <c r="P105" s="14"/>
      <c r="Q105" s="21"/>
      <c r="R105" s="22"/>
      <c r="S105" s="23"/>
      <c r="T105" s="15"/>
      <c r="U105" s="16"/>
      <c r="W105" t="str">
        <f>IF(G105-J105-SUM(K105:U105),G105-J105-SUM(K105:U105),"")</f>
        <v/>
      </c>
    </row>
    <row r="106" spans="1:23" x14ac:dyDescent="0.2">
      <c r="A106" s="7" t="str">
        <f t="shared" si="1"/>
        <v>acsmacrolett/4c00675_f5</v>
      </c>
      <c r="B106" s="7" t="s">
        <v>20</v>
      </c>
      <c r="C106" s="17" t="s">
        <v>103</v>
      </c>
      <c r="D106" s="7" t="s">
        <v>22</v>
      </c>
      <c r="E106" s="7" t="s">
        <v>80</v>
      </c>
      <c r="F106" s="7" t="s">
        <v>40</v>
      </c>
      <c r="G106" s="7">
        <v>2</v>
      </c>
      <c r="H106" s="7" t="str" cm="1">
        <f t="array" ref="H106">INDEX(_xlfn.TEXTSPLIT(INDEX(_xlfn.TEXTSPLIT(C106, "/"), 5), "."), 1)</f>
        <v>acsmacrolett</v>
      </c>
      <c r="I106" s="7" t="str" cm="1">
        <f t="array" ref="I106">IF(E106="Abstract","a",LOWER(_xlfn.CONCAT(LEFT(INDEX(_xlfn.TEXTSPLIT(E106," "),1),1),INDEX(_xlfn.TEXTSPLIT(E106," "),2))))</f>
        <v>f5</v>
      </c>
      <c r="J106" s="7"/>
      <c r="K106" s="9"/>
      <c r="L106" s="10">
        <v>2</v>
      </c>
      <c r="M106" s="11"/>
      <c r="N106" s="12"/>
      <c r="O106" s="13"/>
      <c r="P106" s="14"/>
      <c r="Q106" s="21"/>
      <c r="R106" s="22"/>
      <c r="S106" s="23"/>
      <c r="T106" s="15"/>
      <c r="U106" s="16"/>
      <c r="W106" t="str">
        <f>IF(G106-J106-SUM(K106:U106),G106-J106-SUM(K106:U106),"")</f>
        <v/>
      </c>
    </row>
    <row r="107" spans="1:23" x14ac:dyDescent="0.2">
      <c r="A107" s="7" t="str">
        <f t="shared" si="1"/>
        <v>acsmacrolett/4c00758_s1</v>
      </c>
      <c r="B107" s="7" t="s">
        <v>20</v>
      </c>
      <c r="C107" s="17" t="s">
        <v>104</v>
      </c>
      <c r="D107" s="7" t="s">
        <v>22</v>
      </c>
      <c r="E107" s="7" t="s">
        <v>31</v>
      </c>
      <c r="F107" s="7" t="s">
        <v>33</v>
      </c>
      <c r="G107" s="7">
        <v>7</v>
      </c>
      <c r="H107" s="7" t="str" cm="1">
        <f t="array" ref="H107">INDEX(_xlfn.TEXTSPLIT(INDEX(_xlfn.TEXTSPLIT(C107, "/"), 5), "."), 1)</f>
        <v>acsmacrolett</v>
      </c>
      <c r="I107" s="7" t="str" cm="1">
        <f t="array" ref="I107">IF(E107="Abstract","a",LOWER(_xlfn.CONCAT(LEFT(INDEX(_xlfn.TEXTSPLIT(E107," "),1),1),INDEX(_xlfn.TEXTSPLIT(E107," "),2))))</f>
        <v>s1</v>
      </c>
      <c r="J107" s="7">
        <v>1</v>
      </c>
      <c r="K107" s="9">
        <v>6</v>
      </c>
      <c r="L107" s="10"/>
      <c r="M107" s="11"/>
      <c r="N107" s="12"/>
      <c r="O107" s="13"/>
      <c r="P107" s="14"/>
      <c r="Q107" s="21"/>
      <c r="R107" s="22"/>
      <c r="S107" s="23"/>
      <c r="T107" s="15"/>
      <c r="U107" s="16"/>
      <c r="W107" t="str">
        <f>IF(G107-J107-SUM(K107:U107),G107-J107-SUM(K107:U107),"")</f>
        <v/>
      </c>
    </row>
    <row r="108" spans="1:23" x14ac:dyDescent="0.2">
      <c r="A108" s="7" t="str">
        <f t="shared" si="1"/>
        <v>acsmacrolett/4c00810_s1</v>
      </c>
      <c r="B108" s="7" t="s">
        <v>20</v>
      </c>
      <c r="C108" s="17" t="s">
        <v>105</v>
      </c>
      <c r="D108" s="7" t="s">
        <v>22</v>
      </c>
      <c r="E108" s="7" t="s">
        <v>31</v>
      </c>
      <c r="F108" s="7" t="s">
        <v>33</v>
      </c>
      <c r="G108" s="7">
        <v>1</v>
      </c>
      <c r="H108" s="7" t="str" cm="1">
        <f t="array" ref="H108">INDEX(_xlfn.TEXTSPLIT(INDEX(_xlfn.TEXTSPLIT(C108, "/"), 5), "."), 1)</f>
        <v>acsmacrolett</v>
      </c>
      <c r="I108" s="7" t="str" cm="1">
        <f t="array" ref="I108">IF(E108="Abstract","a",LOWER(_xlfn.CONCAT(LEFT(INDEX(_xlfn.TEXTSPLIT(E108," "),1),1),INDEX(_xlfn.TEXTSPLIT(E108," "),2))))</f>
        <v>s1</v>
      </c>
      <c r="J108" s="7"/>
      <c r="K108" s="9"/>
      <c r="L108" s="10">
        <v>1</v>
      </c>
      <c r="M108" s="11"/>
      <c r="N108" s="12"/>
      <c r="O108" s="13"/>
      <c r="P108" s="14"/>
      <c r="Q108" s="21"/>
      <c r="R108" s="22"/>
      <c r="S108" s="23"/>
      <c r="T108" s="15"/>
      <c r="U108" s="16"/>
      <c r="W108" t="str">
        <f>IF(G108-J108-SUM(K108:U108),G108-J108-SUM(K108:U108),"")</f>
        <v/>
      </c>
    </row>
    <row r="109" spans="1:23" x14ac:dyDescent="0.2">
      <c r="A109" s="7" t="str">
        <f t="shared" si="1"/>
        <v>acsmacrolett/4c00839_f1</v>
      </c>
      <c r="B109" s="7" t="s">
        <v>20</v>
      </c>
      <c r="C109" s="17" t="s">
        <v>106</v>
      </c>
      <c r="D109" s="7" t="s">
        <v>22</v>
      </c>
      <c r="E109" s="7" t="s">
        <v>23</v>
      </c>
      <c r="F109" s="7" t="s">
        <v>33</v>
      </c>
      <c r="G109" s="8">
        <v>3</v>
      </c>
      <c r="H109" s="8" t="str" cm="1">
        <f t="array" ref="H109">INDEX(_xlfn.TEXTSPLIT(INDEX(_xlfn.TEXTSPLIT(C109, "/"), 5), "."), 1)</f>
        <v>acsmacrolett</v>
      </c>
      <c r="I109" s="8" t="str" cm="1">
        <f t="array" ref="I109">IF(E109="Abstract","a",LOWER(_xlfn.CONCAT(LEFT(INDEX(_xlfn.TEXTSPLIT(E109," "),1),1),INDEX(_xlfn.TEXTSPLIT(E109," "),2))))</f>
        <v>f1</v>
      </c>
      <c r="J109" s="8">
        <v>2</v>
      </c>
      <c r="K109" s="9"/>
      <c r="L109" s="10"/>
      <c r="M109" s="11"/>
      <c r="N109" s="12"/>
      <c r="O109" s="13">
        <v>1</v>
      </c>
      <c r="P109" s="14"/>
      <c r="Q109" s="21"/>
      <c r="R109" s="22"/>
      <c r="S109" s="23"/>
      <c r="T109" s="15"/>
      <c r="U109" s="16"/>
      <c r="W109" t="str">
        <f>IF(G109-J109-SUM(K109:U109),G109-J109-SUM(K109:U109),"")</f>
        <v/>
      </c>
    </row>
    <row r="110" spans="1:23" x14ac:dyDescent="0.2">
      <c r="A110" s="7" t="str">
        <f t="shared" si="1"/>
        <v>acsmacrolett/4c00839_f2</v>
      </c>
      <c r="B110" s="7" t="s">
        <v>20</v>
      </c>
      <c r="C110" s="17" t="s">
        <v>106</v>
      </c>
      <c r="D110" s="7" t="s">
        <v>22</v>
      </c>
      <c r="E110" s="7" t="s">
        <v>29</v>
      </c>
      <c r="F110" s="7" t="s">
        <v>33</v>
      </c>
      <c r="G110" s="7">
        <v>1</v>
      </c>
      <c r="H110" s="7" t="str" cm="1">
        <f t="array" ref="H110">INDEX(_xlfn.TEXTSPLIT(INDEX(_xlfn.TEXTSPLIT(C110, "/"), 5), "."), 1)</f>
        <v>acsmacrolett</v>
      </c>
      <c r="I110" s="7" t="str" cm="1">
        <f t="array" ref="I110">IF(E110="Abstract","a",LOWER(_xlfn.CONCAT(LEFT(INDEX(_xlfn.TEXTSPLIT(E110," "),1),1),INDEX(_xlfn.TEXTSPLIT(E110," "),2))))</f>
        <v>f2</v>
      </c>
      <c r="J110" s="7">
        <v>1</v>
      </c>
      <c r="K110" s="9"/>
      <c r="L110" s="10"/>
      <c r="M110" s="11"/>
      <c r="N110" s="12"/>
      <c r="O110" s="13"/>
      <c r="P110" s="14"/>
      <c r="Q110" s="21"/>
      <c r="R110" s="22"/>
      <c r="S110" s="23"/>
      <c r="T110" s="15"/>
      <c r="U110" s="16"/>
      <c r="W110" t="str">
        <f>IF(G110-J110-SUM(K110:U110),G110-J110-SUM(K110:U110),"")</f>
        <v/>
      </c>
    </row>
    <row r="111" spans="1:23" x14ac:dyDescent="0.2">
      <c r="A111" s="7" t="str">
        <f t="shared" si="1"/>
        <v>acsmacrolett/4c00839_f4</v>
      </c>
      <c r="B111" s="7" t="s">
        <v>20</v>
      </c>
      <c r="C111" s="17" t="s">
        <v>106</v>
      </c>
      <c r="D111" s="7" t="s">
        <v>22</v>
      </c>
      <c r="E111" s="7" t="s">
        <v>42</v>
      </c>
      <c r="F111" s="7" t="s">
        <v>33</v>
      </c>
      <c r="G111" s="7">
        <v>1</v>
      </c>
      <c r="H111" s="7" t="str" cm="1">
        <f t="array" ref="H111">INDEX(_xlfn.TEXTSPLIT(INDEX(_xlfn.TEXTSPLIT(C111, "/"), 5), "."), 1)</f>
        <v>acsmacrolett</v>
      </c>
      <c r="I111" s="7" t="str" cm="1">
        <f t="array" ref="I111">IF(E111="Abstract","a",LOWER(_xlfn.CONCAT(LEFT(INDEX(_xlfn.TEXTSPLIT(E111," "),1),1),INDEX(_xlfn.TEXTSPLIT(E111," "),2))))</f>
        <v>f4</v>
      </c>
      <c r="J111" s="7">
        <v>1</v>
      </c>
      <c r="K111" s="9"/>
      <c r="L111" s="10"/>
      <c r="M111" s="11"/>
      <c r="N111" s="12"/>
      <c r="O111" s="13"/>
      <c r="P111" s="14"/>
      <c r="Q111" s="21"/>
      <c r="R111" s="22"/>
      <c r="S111" s="23"/>
      <c r="T111" s="15"/>
      <c r="U111" s="16"/>
      <c r="W111" t="str">
        <f>IF(G111-J111-SUM(K111:U111),G111-J111-SUM(K111:U111),"")</f>
        <v/>
      </c>
    </row>
    <row r="112" spans="1:23" x14ac:dyDescent="0.2">
      <c r="A112" s="7" t="str">
        <f t="shared" si="1"/>
        <v>acsmacrolett/5c00009_f2</v>
      </c>
      <c r="B112" s="7" t="s">
        <v>20</v>
      </c>
      <c r="C112" s="17" t="s">
        <v>107</v>
      </c>
      <c r="D112" s="7" t="s">
        <v>22</v>
      </c>
      <c r="E112" s="7" t="s">
        <v>29</v>
      </c>
      <c r="F112" s="7" t="s">
        <v>33</v>
      </c>
      <c r="G112" s="7">
        <v>1</v>
      </c>
      <c r="H112" s="7" t="str" cm="1">
        <f t="array" ref="H112">INDEX(_xlfn.TEXTSPLIT(INDEX(_xlfn.TEXTSPLIT(C112, "/"), 5), "."), 1)</f>
        <v>acsmacrolett</v>
      </c>
      <c r="I112" s="7" t="str" cm="1">
        <f t="array" ref="I112">IF(E112="Abstract","a",LOWER(_xlfn.CONCAT(LEFT(INDEX(_xlfn.TEXTSPLIT(E112," "),1),1),INDEX(_xlfn.TEXTSPLIT(E112," "),2))))</f>
        <v>f2</v>
      </c>
      <c r="J112" s="7">
        <v>1</v>
      </c>
      <c r="K112" s="9"/>
      <c r="L112" s="10"/>
      <c r="M112" s="11"/>
      <c r="N112" s="12"/>
      <c r="O112" s="13"/>
      <c r="P112" s="14"/>
      <c r="Q112" s="21"/>
      <c r="R112" s="22"/>
      <c r="S112" s="23"/>
      <c r="T112" s="15"/>
      <c r="U112" s="16"/>
      <c r="W112" t="str">
        <f>IF(G112-J112-SUM(K112:U112),G112-J112-SUM(K112:U112),"")</f>
        <v/>
      </c>
    </row>
    <row r="113" spans="1:23" x14ac:dyDescent="0.2">
      <c r="A113" s="7" t="str">
        <f t="shared" si="1"/>
        <v>acsmacrolett/5c00043_f1</v>
      </c>
      <c r="B113" s="7" t="s">
        <v>20</v>
      </c>
      <c r="C113" s="17" t="s">
        <v>108</v>
      </c>
      <c r="D113" s="7" t="s">
        <v>22</v>
      </c>
      <c r="E113" s="7" t="s">
        <v>23</v>
      </c>
      <c r="F113" s="7" t="s">
        <v>33</v>
      </c>
      <c r="G113" s="7">
        <v>2</v>
      </c>
      <c r="H113" s="7" t="str" cm="1">
        <f t="array" ref="H113">INDEX(_xlfn.TEXTSPLIT(INDEX(_xlfn.TEXTSPLIT(C113, "/"), 5), "."), 1)</f>
        <v>acsmacrolett</v>
      </c>
      <c r="I113" s="7" t="str" cm="1">
        <f t="array" ref="I113">IF(E113="Abstract","a",LOWER(_xlfn.CONCAT(LEFT(INDEX(_xlfn.TEXTSPLIT(E113," "),1),1),INDEX(_xlfn.TEXTSPLIT(E113," "),2))))</f>
        <v>f1</v>
      </c>
      <c r="J113" s="7">
        <v>1</v>
      </c>
      <c r="K113" s="9"/>
      <c r="L113" s="10"/>
      <c r="M113" s="11">
        <v>1</v>
      </c>
      <c r="N113" s="12"/>
      <c r="O113" s="13"/>
      <c r="P113" s="14"/>
      <c r="Q113" s="21"/>
      <c r="R113" s="22"/>
      <c r="S113" s="23"/>
      <c r="T113" s="15"/>
      <c r="U113" s="16"/>
      <c r="W113" t="str">
        <f>IF(G113-J113-SUM(K113:U113),G113-J113-SUM(K113:U113),"")</f>
        <v/>
      </c>
    </row>
    <row r="114" spans="1:23" x14ac:dyDescent="0.2">
      <c r="A114" s="7" t="str">
        <f t="shared" si="1"/>
        <v>acsmacrolett/5c00053_f2</v>
      </c>
      <c r="B114" s="7" t="s">
        <v>20</v>
      </c>
      <c r="C114" s="17" t="s">
        <v>109</v>
      </c>
      <c r="D114" s="7" t="s">
        <v>22</v>
      </c>
      <c r="E114" s="7" t="s">
        <v>29</v>
      </c>
      <c r="F114" s="7" t="s">
        <v>33</v>
      </c>
      <c r="G114" s="7">
        <v>4</v>
      </c>
      <c r="H114" s="7" t="str" cm="1">
        <f t="array" ref="H114">INDEX(_xlfn.TEXTSPLIT(INDEX(_xlfn.TEXTSPLIT(C114, "/"), 5), "."), 1)</f>
        <v>acsmacrolett</v>
      </c>
      <c r="I114" s="7" t="str" cm="1">
        <f t="array" ref="I114">IF(E114="Abstract","a",LOWER(_xlfn.CONCAT(LEFT(INDEX(_xlfn.TEXTSPLIT(E114," "),1),1),INDEX(_xlfn.TEXTSPLIT(E114," "),2))))</f>
        <v>f2</v>
      </c>
      <c r="J114" s="7">
        <v>4</v>
      </c>
      <c r="K114" s="9"/>
      <c r="L114" s="10"/>
      <c r="M114" s="11"/>
      <c r="N114" s="12"/>
      <c r="O114" s="13"/>
      <c r="P114" s="14"/>
      <c r="Q114" s="21"/>
      <c r="R114" s="22"/>
      <c r="S114" s="23"/>
      <c r="T114" s="15"/>
      <c r="U114" s="16"/>
      <c r="W114" t="str">
        <f>IF(G114-J114-SUM(K114:U114),G114-J114-SUM(K114:U114),"")</f>
        <v/>
      </c>
    </row>
    <row r="115" spans="1:23" x14ac:dyDescent="0.2">
      <c r="A115" s="7" t="str">
        <f t="shared" si="1"/>
        <v>acsmacrolett/5c00065_a</v>
      </c>
      <c r="B115" s="7" t="s">
        <v>20</v>
      </c>
      <c r="C115" s="17" t="s">
        <v>110</v>
      </c>
      <c r="D115" s="7" t="s">
        <v>22</v>
      </c>
      <c r="E115" s="7" t="s">
        <v>47</v>
      </c>
      <c r="F115" s="7" t="s">
        <v>33</v>
      </c>
      <c r="G115" s="7">
        <v>1</v>
      </c>
      <c r="H115" s="7" t="str" cm="1">
        <f t="array" ref="H115">INDEX(_xlfn.TEXTSPLIT(INDEX(_xlfn.TEXTSPLIT(C115, "/"), 5), "."), 1)</f>
        <v>acsmacrolett</v>
      </c>
      <c r="I115" s="7" t="str" cm="1">
        <f t="array" ref="I115">IF(E115="Abstract","a",LOWER(_xlfn.CONCAT(LEFT(INDEX(_xlfn.TEXTSPLIT(E115," "),1),1),INDEX(_xlfn.TEXTSPLIT(E115," "),2))))</f>
        <v>a</v>
      </c>
      <c r="J115" s="7"/>
      <c r="K115" s="9"/>
      <c r="L115" s="10">
        <v>1</v>
      </c>
      <c r="M115" s="11"/>
      <c r="N115" s="12"/>
      <c r="O115" s="13"/>
      <c r="P115" s="14"/>
      <c r="Q115" s="21"/>
      <c r="R115" s="22"/>
      <c r="S115" s="23"/>
      <c r="T115" s="15"/>
      <c r="U115" s="16"/>
      <c r="W115" t="str">
        <f>IF(G115-J115-SUM(K115:U115),G115-J115-SUM(K115:U115),"")</f>
        <v/>
      </c>
    </row>
    <row r="116" spans="1:23" x14ac:dyDescent="0.2">
      <c r="A116" s="7" t="str">
        <f t="shared" si="1"/>
        <v>acsmacrolett/5c00065_s1</v>
      </c>
      <c r="B116" s="7" t="s">
        <v>20</v>
      </c>
      <c r="C116" s="17" t="s">
        <v>110</v>
      </c>
      <c r="D116" s="7" t="s">
        <v>22</v>
      </c>
      <c r="E116" s="7" t="s">
        <v>31</v>
      </c>
      <c r="F116" s="7" t="s">
        <v>33</v>
      </c>
      <c r="G116" s="7">
        <v>1</v>
      </c>
      <c r="H116" s="7" t="str" cm="1">
        <f t="array" ref="H116">INDEX(_xlfn.TEXTSPLIT(INDEX(_xlfn.TEXTSPLIT(C116, "/"), 5), "."), 1)</f>
        <v>acsmacrolett</v>
      </c>
      <c r="I116" s="7" t="str" cm="1">
        <f t="array" ref="I116">IF(E116="Abstract","a",LOWER(_xlfn.CONCAT(LEFT(INDEX(_xlfn.TEXTSPLIT(E116," "),1),1),INDEX(_xlfn.TEXTSPLIT(E116," "),2))))</f>
        <v>s1</v>
      </c>
      <c r="J116" s="7"/>
      <c r="K116" s="9"/>
      <c r="L116" s="10"/>
      <c r="M116" s="11"/>
      <c r="N116" s="12"/>
      <c r="O116" s="13">
        <v>1</v>
      </c>
      <c r="P116" s="14"/>
      <c r="Q116" s="21"/>
      <c r="R116" s="22"/>
      <c r="S116" s="23"/>
      <c r="T116" s="15"/>
      <c r="U116" s="16"/>
      <c r="W116" t="str">
        <f>IF(G116-J116-SUM(K116:U116),G116-J116-SUM(K116:U116),"")</f>
        <v/>
      </c>
    </row>
    <row r="117" spans="1:23" x14ac:dyDescent="0.2">
      <c r="A117" s="7" t="str">
        <f t="shared" si="1"/>
        <v>acsmacrolett/5c00165_f2</v>
      </c>
      <c r="B117" s="7" t="s">
        <v>20</v>
      </c>
      <c r="C117" s="17" t="s">
        <v>111</v>
      </c>
      <c r="D117" s="7" t="s">
        <v>22</v>
      </c>
      <c r="E117" s="7" t="s">
        <v>29</v>
      </c>
      <c r="F117" s="7" t="s">
        <v>33</v>
      </c>
      <c r="G117" s="7">
        <v>5</v>
      </c>
      <c r="H117" s="7" t="str" cm="1">
        <f t="array" ref="H117">INDEX(_xlfn.TEXTSPLIT(INDEX(_xlfn.TEXTSPLIT(C117, "/"), 5), "."), 1)</f>
        <v>acsmacrolett</v>
      </c>
      <c r="I117" s="7" t="str" cm="1">
        <f t="array" ref="I117">IF(E117="Abstract","a",LOWER(_xlfn.CONCAT(LEFT(INDEX(_xlfn.TEXTSPLIT(E117," "),1),1),INDEX(_xlfn.TEXTSPLIT(E117," "),2))))</f>
        <v>f2</v>
      </c>
      <c r="J117" s="7">
        <v>5</v>
      </c>
      <c r="K117" s="9"/>
      <c r="L117" s="10"/>
      <c r="M117" s="11"/>
      <c r="N117" s="12"/>
      <c r="O117" s="13"/>
      <c r="P117" s="14"/>
      <c r="Q117" s="21"/>
      <c r="R117" s="22"/>
      <c r="S117" s="23"/>
      <c r="T117" s="15"/>
      <c r="U117" s="16"/>
      <c r="W117" t="str">
        <f>IF(G117-J117-SUM(K117:U117),G117-J117-SUM(K117:U117),"")</f>
        <v/>
      </c>
    </row>
    <row r="118" spans="1:23" x14ac:dyDescent="0.2">
      <c r="A118" s="7" t="str">
        <f t="shared" si="1"/>
        <v>acsmacrolett/5c00165_s2</v>
      </c>
      <c r="B118" s="7" t="s">
        <v>20</v>
      </c>
      <c r="C118" s="17" t="s">
        <v>111</v>
      </c>
      <c r="D118" s="7" t="s">
        <v>22</v>
      </c>
      <c r="E118" s="7" t="s">
        <v>55</v>
      </c>
      <c r="F118" s="7" t="s">
        <v>33</v>
      </c>
      <c r="G118" s="7">
        <v>7</v>
      </c>
      <c r="H118" s="7" t="str" cm="1">
        <f t="array" ref="H118">INDEX(_xlfn.TEXTSPLIT(INDEX(_xlfn.TEXTSPLIT(C118, "/"), 5), "."), 1)</f>
        <v>acsmacrolett</v>
      </c>
      <c r="I118" s="7" t="str" cm="1">
        <f t="array" ref="I118">IF(E118="Abstract","a",LOWER(_xlfn.CONCAT(LEFT(INDEX(_xlfn.TEXTSPLIT(E118," "),1),1),INDEX(_xlfn.TEXTSPLIT(E118," "),2))))</f>
        <v>s2</v>
      </c>
      <c r="J118" s="7">
        <v>6</v>
      </c>
      <c r="K118" s="9"/>
      <c r="L118" s="10"/>
      <c r="M118" s="11">
        <v>1</v>
      </c>
      <c r="N118" s="12"/>
      <c r="O118" s="13"/>
      <c r="P118" s="14"/>
      <c r="Q118" s="21"/>
      <c r="R118" s="22"/>
      <c r="S118" s="23"/>
      <c r="T118" s="15"/>
      <c r="U118" s="16"/>
      <c r="W118" t="str">
        <f>IF(G118-J118-SUM(K118:U118),G118-J118-SUM(K118:U118),"")</f>
        <v/>
      </c>
    </row>
    <row r="119" spans="1:23" x14ac:dyDescent="0.2">
      <c r="A119" s="7" t="str">
        <f t="shared" si="1"/>
        <v>acsmacrolett/5c00171_f5</v>
      </c>
      <c r="B119" s="7" t="s">
        <v>20</v>
      </c>
      <c r="C119" s="17" t="s">
        <v>112</v>
      </c>
      <c r="D119" s="7" t="s">
        <v>22</v>
      </c>
      <c r="E119" s="7" t="s">
        <v>80</v>
      </c>
      <c r="F119" s="7" t="s">
        <v>33</v>
      </c>
      <c r="G119" s="7">
        <v>1</v>
      </c>
      <c r="H119" s="7" t="str" cm="1">
        <f t="array" ref="H119">INDEX(_xlfn.TEXTSPLIT(INDEX(_xlfn.TEXTSPLIT(C119, "/"), 5), "."), 1)</f>
        <v>acsmacrolett</v>
      </c>
      <c r="I119" s="7" t="str" cm="1">
        <f t="array" ref="I119">IF(E119="Abstract","a",LOWER(_xlfn.CONCAT(LEFT(INDEX(_xlfn.TEXTSPLIT(E119," "),1),1),INDEX(_xlfn.TEXTSPLIT(E119," "),2))))</f>
        <v>f5</v>
      </c>
      <c r="J119" s="7">
        <v>1</v>
      </c>
      <c r="K119" s="9"/>
      <c r="L119" s="10"/>
      <c r="M119" s="11"/>
      <c r="N119" s="12"/>
      <c r="O119" s="13"/>
      <c r="P119" s="14"/>
      <c r="Q119" s="21"/>
      <c r="R119" s="22"/>
      <c r="S119" s="23"/>
      <c r="T119" s="15"/>
      <c r="U119" s="16"/>
      <c r="W119" t="str">
        <f>IF(G119-J119-SUM(K119:U119),G119-J119-SUM(K119:U119),"")</f>
        <v/>
      </c>
    </row>
    <row r="120" spans="1:23" x14ac:dyDescent="0.2">
      <c r="A120" s="7" t="str">
        <f t="shared" si="1"/>
        <v>acsmacrolett/5c00205_f5</v>
      </c>
      <c r="B120" s="7" t="s">
        <v>20</v>
      </c>
      <c r="C120" s="17" t="s">
        <v>113</v>
      </c>
      <c r="D120" s="7" t="s">
        <v>22</v>
      </c>
      <c r="E120" s="7" t="s">
        <v>80</v>
      </c>
      <c r="F120" s="7" t="s">
        <v>33</v>
      </c>
      <c r="G120" s="7">
        <v>1</v>
      </c>
      <c r="H120" s="7" t="str" cm="1">
        <f t="array" ref="H120">INDEX(_xlfn.TEXTSPLIT(INDEX(_xlfn.TEXTSPLIT(C120, "/"), 5), "."), 1)</f>
        <v>acsmacrolett</v>
      </c>
      <c r="I120" s="7" t="str" cm="1">
        <f t="array" ref="I120">IF(E120="Abstract","a",LOWER(_xlfn.CONCAT(LEFT(INDEX(_xlfn.TEXTSPLIT(E120," "),1),1),INDEX(_xlfn.TEXTSPLIT(E120," "),2))))</f>
        <v>f5</v>
      </c>
      <c r="J120" s="7"/>
      <c r="K120" s="9"/>
      <c r="L120" s="10">
        <v>1</v>
      </c>
      <c r="M120" s="11"/>
      <c r="N120" s="12"/>
      <c r="O120" s="13"/>
      <c r="P120" s="14"/>
      <c r="Q120" s="21"/>
      <c r="R120" s="22"/>
      <c r="S120" s="23"/>
      <c r="T120" s="15"/>
      <c r="U120" s="16"/>
      <c r="W120" t="str">
        <f>IF(G120-J120-SUM(K120:U120),G120-J120-SUM(K120:U120),"")</f>
        <v/>
      </c>
    </row>
    <row r="121" spans="1:23" x14ac:dyDescent="0.2">
      <c r="A121" s="7" t="str">
        <f t="shared" si="1"/>
        <v>acsmacrolett/5c00317_s1</v>
      </c>
      <c r="B121" s="7" t="s">
        <v>20</v>
      </c>
      <c r="C121" s="17" t="s">
        <v>114</v>
      </c>
      <c r="D121" s="7" t="s">
        <v>22</v>
      </c>
      <c r="E121" s="7" t="s">
        <v>31</v>
      </c>
      <c r="F121" s="7" t="s">
        <v>33</v>
      </c>
      <c r="G121" s="7">
        <v>3</v>
      </c>
      <c r="H121" s="7" t="str" cm="1">
        <f t="array" ref="H121">INDEX(_xlfn.TEXTSPLIT(INDEX(_xlfn.TEXTSPLIT(C121, "/"), 5), "."), 1)</f>
        <v>acsmacrolett</v>
      </c>
      <c r="I121" s="7" t="str" cm="1">
        <f t="array" ref="I121">IF(E121="Abstract","a",LOWER(_xlfn.CONCAT(LEFT(INDEX(_xlfn.TEXTSPLIT(E121," "),1),1),INDEX(_xlfn.TEXTSPLIT(E121," "),2))))</f>
        <v>s1</v>
      </c>
      <c r="J121" s="7"/>
      <c r="K121" s="9"/>
      <c r="L121" s="10"/>
      <c r="M121" s="11"/>
      <c r="N121" s="12"/>
      <c r="O121" s="13"/>
      <c r="P121" s="14">
        <v>3</v>
      </c>
      <c r="Q121" s="21"/>
      <c r="R121" s="22"/>
      <c r="S121" s="23"/>
      <c r="T121" s="15"/>
      <c r="U121" s="16"/>
      <c r="W121" t="str">
        <f>IF(G121-J121-SUM(K121:U121),G121-J121-SUM(K121:U121),"")</f>
        <v/>
      </c>
    </row>
    <row r="122" spans="1:23" x14ac:dyDescent="0.2">
      <c r="A122" s="7" t="str">
        <f t="shared" si="1"/>
        <v>acsmacrolett/7b00723_a</v>
      </c>
      <c r="B122" s="7" t="s">
        <v>20</v>
      </c>
      <c r="C122" s="17" t="s">
        <v>115</v>
      </c>
      <c r="D122" s="7" t="s">
        <v>22</v>
      </c>
      <c r="E122" s="7" t="s">
        <v>47</v>
      </c>
      <c r="F122" s="7" t="s">
        <v>26</v>
      </c>
      <c r="G122" s="7">
        <v>1</v>
      </c>
      <c r="H122" s="7" t="str" cm="1">
        <f t="array" ref="H122">INDEX(_xlfn.TEXTSPLIT(INDEX(_xlfn.TEXTSPLIT(C122, "/"), 5), "."), 1)</f>
        <v>acsmacrolett</v>
      </c>
      <c r="I122" s="7" t="str" cm="1">
        <f t="array" ref="I122">IF(E122="Abstract","a",LOWER(_xlfn.CONCAT(LEFT(INDEX(_xlfn.TEXTSPLIT(E122," "),1),1),INDEX(_xlfn.TEXTSPLIT(E122," "),2))))</f>
        <v>a</v>
      </c>
      <c r="J122" s="7"/>
      <c r="K122" s="9"/>
      <c r="L122" s="10">
        <v>1</v>
      </c>
      <c r="M122" s="11"/>
      <c r="N122" s="12"/>
      <c r="O122" s="13"/>
      <c r="P122" s="14"/>
      <c r="Q122" s="21"/>
      <c r="R122" s="22"/>
      <c r="S122" s="23"/>
      <c r="T122" s="15"/>
      <c r="U122" s="16"/>
      <c r="W122" t="str">
        <f>IF(G122-J122-SUM(K122:U122),G122-J122-SUM(K122:U122),"")</f>
        <v/>
      </c>
    </row>
    <row r="123" spans="1:23" x14ac:dyDescent="0.2">
      <c r="A123" s="7" t="str">
        <f t="shared" si="1"/>
        <v>acsmacrolett/7b00891_f1</v>
      </c>
      <c r="B123" s="7" t="s">
        <v>20</v>
      </c>
      <c r="C123" s="17" t="s">
        <v>116</v>
      </c>
      <c r="D123" s="7" t="s">
        <v>22</v>
      </c>
      <c r="E123" s="7" t="s">
        <v>23</v>
      </c>
      <c r="F123" s="7" t="s">
        <v>24</v>
      </c>
      <c r="G123" s="7">
        <v>4</v>
      </c>
      <c r="H123" s="7" t="str" cm="1">
        <f t="array" ref="H123">INDEX(_xlfn.TEXTSPLIT(INDEX(_xlfn.TEXTSPLIT(C123, "/"), 5), "."), 1)</f>
        <v>acsmacrolett</v>
      </c>
      <c r="I123" s="7" t="str" cm="1">
        <f t="array" ref="I123">IF(E123="Abstract","a",LOWER(_xlfn.CONCAT(LEFT(INDEX(_xlfn.TEXTSPLIT(E123," "),1),1),INDEX(_xlfn.TEXTSPLIT(E123," "),2))))</f>
        <v>f1</v>
      </c>
      <c r="J123" s="7">
        <v>4</v>
      </c>
      <c r="K123" s="9"/>
      <c r="L123" s="10"/>
      <c r="M123" s="11"/>
      <c r="N123" s="12"/>
      <c r="O123" s="13"/>
      <c r="P123" s="14"/>
      <c r="Q123" s="21"/>
      <c r="R123" s="22"/>
      <c r="S123" s="23"/>
      <c r="T123" s="15"/>
      <c r="U123" s="16"/>
      <c r="W123" t="str">
        <f>IF(G123-J123-SUM(K123:U123),G123-J123-SUM(K123:U123),"")</f>
        <v/>
      </c>
    </row>
    <row r="124" spans="1:23" x14ac:dyDescent="0.2">
      <c r="A124" s="7" t="str">
        <f t="shared" si="1"/>
        <v>acsmacrolett/7b00905_f2</v>
      </c>
      <c r="B124" s="7" t="s">
        <v>20</v>
      </c>
      <c r="C124" s="17" t="s">
        <v>117</v>
      </c>
      <c r="D124" s="7" t="s">
        <v>22</v>
      </c>
      <c r="E124" s="7" t="s">
        <v>29</v>
      </c>
      <c r="F124" s="7" t="s">
        <v>24</v>
      </c>
      <c r="G124" s="7">
        <v>3</v>
      </c>
      <c r="H124" s="7" t="str" cm="1">
        <f t="array" ref="H124">INDEX(_xlfn.TEXTSPLIT(INDEX(_xlfn.TEXTSPLIT(C124, "/"), 5), "."), 1)</f>
        <v>acsmacrolett</v>
      </c>
      <c r="I124" s="7" t="str" cm="1">
        <f t="array" ref="I124">IF(E124="Abstract","a",LOWER(_xlfn.CONCAT(LEFT(INDEX(_xlfn.TEXTSPLIT(E124," "),1),1),INDEX(_xlfn.TEXTSPLIT(E124," "),2))))</f>
        <v>f2</v>
      </c>
      <c r="J124" s="7">
        <v>2</v>
      </c>
      <c r="K124" s="9"/>
      <c r="L124" s="10">
        <v>1</v>
      </c>
      <c r="M124" s="11"/>
      <c r="N124" s="12"/>
      <c r="O124" s="13"/>
      <c r="P124" s="14"/>
      <c r="Q124" s="21"/>
      <c r="R124" s="22"/>
      <c r="S124" s="23"/>
      <c r="T124" s="15"/>
      <c r="U124" s="16"/>
      <c r="W124" t="str">
        <f>IF(G124-J124-SUM(K124:U124),G124-J124-SUM(K124:U124),"")</f>
        <v/>
      </c>
    </row>
    <row r="125" spans="1:23" x14ac:dyDescent="0.2">
      <c r="A125" s="7" t="str">
        <f t="shared" si="1"/>
        <v>acsmacrolett/7b00905_s1</v>
      </c>
      <c r="B125" s="7" t="s">
        <v>20</v>
      </c>
      <c r="C125" s="17" t="s">
        <v>117</v>
      </c>
      <c r="D125" s="7" t="s">
        <v>22</v>
      </c>
      <c r="E125" s="7" t="s">
        <v>31</v>
      </c>
      <c r="F125" s="7" t="s">
        <v>24</v>
      </c>
      <c r="G125" s="7">
        <v>3</v>
      </c>
      <c r="H125" s="7" t="str" cm="1">
        <f t="array" ref="H125">INDEX(_xlfn.TEXTSPLIT(INDEX(_xlfn.TEXTSPLIT(C125, "/"), 5), "."), 1)</f>
        <v>acsmacrolett</v>
      </c>
      <c r="I125" s="7" t="str" cm="1">
        <f t="array" ref="I125">IF(E125="Abstract","a",LOWER(_xlfn.CONCAT(LEFT(INDEX(_xlfn.TEXTSPLIT(E125," "),1),1),INDEX(_xlfn.TEXTSPLIT(E125," "),2))))</f>
        <v>s1</v>
      </c>
      <c r="J125" s="7">
        <v>1</v>
      </c>
      <c r="K125" s="9"/>
      <c r="L125" s="10">
        <v>2</v>
      </c>
      <c r="M125" s="11"/>
      <c r="N125" s="12"/>
      <c r="O125" s="13"/>
      <c r="P125" s="14"/>
      <c r="Q125" s="21"/>
      <c r="R125" s="22"/>
      <c r="S125" s="23"/>
      <c r="T125" s="15"/>
      <c r="U125" s="16"/>
      <c r="W125" t="str">
        <f>IF(G125-J125-SUM(K125:U125),G125-J125-SUM(K125:U125),"")</f>
        <v/>
      </c>
    </row>
    <row r="126" spans="1:23" x14ac:dyDescent="0.2">
      <c r="A126" s="7" t="str">
        <f t="shared" si="1"/>
        <v>acsmacrolett/8b00168_f1</v>
      </c>
      <c r="B126" s="7" t="s">
        <v>20</v>
      </c>
      <c r="C126" s="17" t="s">
        <v>118</v>
      </c>
      <c r="D126" s="7" t="s">
        <v>22</v>
      </c>
      <c r="E126" s="7" t="s">
        <v>23</v>
      </c>
      <c r="F126" s="7" t="s">
        <v>26</v>
      </c>
      <c r="G126" s="7">
        <v>1</v>
      </c>
      <c r="H126" s="7" t="str" cm="1">
        <f t="array" ref="H126">INDEX(_xlfn.TEXTSPLIT(INDEX(_xlfn.TEXTSPLIT(C126, "/"), 5), "."), 1)</f>
        <v>acsmacrolett</v>
      </c>
      <c r="I126" s="7" t="str" cm="1">
        <f t="array" ref="I126">IF(E126="Abstract","a",LOWER(_xlfn.CONCAT(LEFT(INDEX(_xlfn.TEXTSPLIT(E126," "),1),1),INDEX(_xlfn.TEXTSPLIT(E126," "),2))))</f>
        <v>f1</v>
      </c>
      <c r="J126" s="7">
        <v>1</v>
      </c>
      <c r="K126" s="9"/>
      <c r="L126" s="10"/>
      <c r="M126" s="11"/>
      <c r="N126" s="12"/>
      <c r="O126" s="13"/>
      <c r="P126" s="14"/>
      <c r="Q126" s="21"/>
      <c r="R126" s="22"/>
      <c r="S126" s="23"/>
      <c r="T126" s="15"/>
      <c r="U126" s="16"/>
      <c r="W126" t="str">
        <f>IF(G126-J126-SUM(K126:U126),G126-J126-SUM(K126:U126),"")</f>
        <v/>
      </c>
    </row>
    <row r="127" spans="1:23" x14ac:dyDescent="0.2">
      <c r="A127" s="7" t="str">
        <f t="shared" si="1"/>
        <v>acsmacrolett/8b00168_s1</v>
      </c>
      <c r="B127" s="7" t="s">
        <v>20</v>
      </c>
      <c r="C127" s="17" t="s">
        <v>118</v>
      </c>
      <c r="D127" s="7" t="s">
        <v>22</v>
      </c>
      <c r="E127" s="7" t="s">
        <v>31</v>
      </c>
      <c r="F127" s="7" t="s">
        <v>26</v>
      </c>
      <c r="G127" s="7">
        <v>3</v>
      </c>
      <c r="H127" s="7" t="str" cm="1">
        <f t="array" ref="H127">INDEX(_xlfn.TEXTSPLIT(INDEX(_xlfn.TEXTSPLIT(C127, "/"), 5), "."), 1)</f>
        <v>acsmacrolett</v>
      </c>
      <c r="I127" s="7" t="str" cm="1">
        <f t="array" ref="I127">IF(E127="Abstract","a",LOWER(_xlfn.CONCAT(LEFT(INDEX(_xlfn.TEXTSPLIT(E127," "),1),1),INDEX(_xlfn.TEXTSPLIT(E127," "),2))))</f>
        <v>s1</v>
      </c>
      <c r="J127" s="7">
        <v>3</v>
      </c>
      <c r="K127" s="9"/>
      <c r="L127" s="10"/>
      <c r="M127" s="11"/>
      <c r="N127" s="12"/>
      <c r="O127" s="13"/>
      <c r="P127" s="14"/>
      <c r="Q127" s="21"/>
      <c r="R127" s="22"/>
      <c r="S127" s="23"/>
      <c r="T127" s="15"/>
      <c r="U127" s="16"/>
      <c r="W127" t="str">
        <f>IF(G127-J127-SUM(K127:U127),G127-J127-SUM(K127:U127),"")</f>
        <v/>
      </c>
    </row>
    <row r="128" spans="1:23" x14ac:dyDescent="0.2">
      <c r="A128" s="7" t="str">
        <f t="shared" si="1"/>
        <v>acsmacrolett/8b00675_f1</v>
      </c>
      <c r="B128" s="7" t="s">
        <v>20</v>
      </c>
      <c r="C128" s="17" t="s">
        <v>119</v>
      </c>
      <c r="D128" s="7" t="s">
        <v>22</v>
      </c>
      <c r="E128" s="7" t="s">
        <v>23</v>
      </c>
      <c r="F128" s="7" t="s">
        <v>24</v>
      </c>
      <c r="G128" s="7">
        <v>4</v>
      </c>
      <c r="H128" s="7" t="str" cm="1">
        <f t="array" ref="H128">INDEX(_xlfn.TEXTSPLIT(INDEX(_xlfn.TEXTSPLIT(C128, "/"), 5), "."), 1)</f>
        <v>acsmacrolett</v>
      </c>
      <c r="I128" s="7" t="str" cm="1">
        <f t="array" ref="I128">IF(E128="Abstract","a",LOWER(_xlfn.CONCAT(LEFT(INDEX(_xlfn.TEXTSPLIT(E128," "),1),1),INDEX(_xlfn.TEXTSPLIT(E128," "),2))))</f>
        <v>f1</v>
      </c>
      <c r="J128" s="7">
        <v>4</v>
      </c>
      <c r="K128" s="9"/>
      <c r="L128" s="10"/>
      <c r="M128" s="11"/>
      <c r="N128" s="12"/>
      <c r="O128" s="13"/>
      <c r="P128" s="14"/>
      <c r="Q128" s="21"/>
      <c r="R128" s="22"/>
      <c r="S128" s="23"/>
      <c r="T128" s="15"/>
      <c r="U128" s="16"/>
      <c r="W128" t="str">
        <f>IF(G128-J128-SUM(K128:U128),G128-J128-SUM(K128:U128),"")</f>
        <v/>
      </c>
    </row>
    <row r="129" spans="1:23" x14ac:dyDescent="0.2">
      <c r="A129" s="7" t="str">
        <f t="shared" si="1"/>
        <v>acsmacrolett/8b00807_f1</v>
      </c>
      <c r="B129" s="7" t="s">
        <v>20</v>
      </c>
      <c r="C129" s="17" t="s">
        <v>120</v>
      </c>
      <c r="D129" s="7" t="s">
        <v>22</v>
      </c>
      <c r="E129" s="7" t="s">
        <v>23</v>
      </c>
      <c r="F129" s="7" t="s">
        <v>26</v>
      </c>
      <c r="G129" s="7">
        <v>1</v>
      </c>
      <c r="H129" s="7" t="str" cm="1">
        <f t="array" ref="H129">INDEX(_xlfn.TEXTSPLIT(INDEX(_xlfn.TEXTSPLIT(C129, "/"), 5), "."), 1)</f>
        <v>acsmacrolett</v>
      </c>
      <c r="I129" s="7" t="str" cm="1">
        <f t="array" ref="I129">IF(E129="Abstract","a",LOWER(_xlfn.CONCAT(LEFT(INDEX(_xlfn.TEXTSPLIT(E129," "),1),1),INDEX(_xlfn.TEXTSPLIT(E129," "),2))))</f>
        <v>f1</v>
      </c>
      <c r="J129" s="7"/>
      <c r="K129" s="9"/>
      <c r="L129" s="10">
        <v>1</v>
      </c>
      <c r="M129" s="11"/>
      <c r="N129" s="12"/>
      <c r="O129" s="13"/>
      <c r="P129" s="14"/>
      <c r="Q129" s="21"/>
      <c r="R129" s="22"/>
      <c r="S129" s="23"/>
      <c r="T129" s="15"/>
      <c r="U129" s="16"/>
      <c r="W129" t="str">
        <f>IF(G129-J129-SUM(K129:U129),G129-J129-SUM(K129:U129),"")</f>
        <v/>
      </c>
    </row>
    <row r="130" spans="1:23" x14ac:dyDescent="0.2">
      <c r="A130" s="7" t="str">
        <f t="shared" si="1"/>
        <v>acsmacrolett/8b00825_f1</v>
      </c>
      <c r="B130" s="7" t="s">
        <v>20</v>
      </c>
      <c r="C130" s="17" t="s">
        <v>121</v>
      </c>
      <c r="D130" s="7" t="s">
        <v>22</v>
      </c>
      <c r="E130" s="7" t="s">
        <v>23</v>
      </c>
      <c r="F130" s="7" t="s">
        <v>24</v>
      </c>
      <c r="G130" s="7">
        <v>3</v>
      </c>
      <c r="H130" s="7" t="str" cm="1">
        <f t="array" ref="H130">INDEX(_xlfn.TEXTSPLIT(INDEX(_xlfn.TEXTSPLIT(C130, "/"), 5), "."), 1)</f>
        <v>acsmacrolett</v>
      </c>
      <c r="I130" s="7" t="str" cm="1">
        <f t="array" ref="I130">IF(E130="Abstract","a",LOWER(_xlfn.CONCAT(LEFT(INDEX(_xlfn.TEXTSPLIT(E130," "),1),1),INDEX(_xlfn.TEXTSPLIT(E130," "),2))))</f>
        <v>f1</v>
      </c>
      <c r="J130" s="7"/>
      <c r="K130" s="9"/>
      <c r="L130" s="10">
        <v>3</v>
      </c>
      <c r="M130" s="11"/>
      <c r="N130" s="12"/>
      <c r="O130" s="13"/>
      <c r="P130" s="14"/>
      <c r="Q130" s="21"/>
      <c r="R130" s="22"/>
      <c r="S130" s="23"/>
      <c r="T130" s="15"/>
      <c r="U130" s="16"/>
      <c r="W130" t="str">
        <f>IF(G130-J130-SUM(K130:U130),G130-J130-SUM(K130:U130),"")</f>
        <v/>
      </c>
    </row>
    <row r="131" spans="1:23" x14ac:dyDescent="0.2">
      <c r="A131" s="7" t="str">
        <f t="shared" ref="A131:A194" si="2">_xlfn.CONCAT(H131, "/",RIGHT(C131,7),"_",IF(D131="SI","si_",""), I131)</f>
        <v>acsmacrolett/9b00258_a</v>
      </c>
      <c r="B131" s="7" t="s">
        <v>20</v>
      </c>
      <c r="C131" s="17" t="s">
        <v>122</v>
      </c>
      <c r="D131" s="7" t="s">
        <v>22</v>
      </c>
      <c r="E131" s="7" t="s">
        <v>47</v>
      </c>
      <c r="F131" s="7" t="s">
        <v>24</v>
      </c>
      <c r="G131" s="7">
        <v>1</v>
      </c>
      <c r="H131" s="7" t="str" cm="1">
        <f t="array" ref="H131">INDEX(_xlfn.TEXTSPLIT(INDEX(_xlfn.TEXTSPLIT(C131, "/"), 5), "."), 1)</f>
        <v>acsmacrolett</v>
      </c>
      <c r="I131" s="7" t="str" cm="1">
        <f t="array" ref="I131">IF(E131="Abstract","a",LOWER(_xlfn.CONCAT(LEFT(INDEX(_xlfn.TEXTSPLIT(E131," "),1),1),INDEX(_xlfn.TEXTSPLIT(E131," "),2))))</f>
        <v>a</v>
      </c>
      <c r="J131" s="7"/>
      <c r="K131" s="9"/>
      <c r="L131" s="10"/>
      <c r="M131" s="11"/>
      <c r="N131" s="12">
        <v>1</v>
      </c>
      <c r="O131" s="13"/>
      <c r="P131" s="14"/>
      <c r="Q131" s="21"/>
      <c r="R131" s="22"/>
      <c r="S131" s="23"/>
      <c r="T131" s="15"/>
      <c r="U131" s="16"/>
      <c r="W131" t="str">
        <f>IF(G131-J131-SUM(K131:U131),G131-J131-SUM(K131:U131),"")</f>
        <v/>
      </c>
    </row>
    <row r="132" spans="1:23" x14ac:dyDescent="0.2">
      <c r="A132" s="7" t="str">
        <f t="shared" si="2"/>
        <v>acsmacrolett/9b00386_f3</v>
      </c>
      <c r="B132" s="7" t="s">
        <v>20</v>
      </c>
      <c r="C132" s="17" t="s">
        <v>123</v>
      </c>
      <c r="D132" s="7" t="s">
        <v>22</v>
      </c>
      <c r="E132" s="7" t="s">
        <v>44</v>
      </c>
      <c r="F132" s="7" t="s">
        <v>26</v>
      </c>
      <c r="G132" s="7">
        <v>4</v>
      </c>
      <c r="H132" s="7" t="str" cm="1">
        <f t="array" ref="H132">INDEX(_xlfn.TEXTSPLIT(INDEX(_xlfn.TEXTSPLIT(C132, "/"), 5), "."), 1)</f>
        <v>acsmacrolett</v>
      </c>
      <c r="I132" s="7" t="str" cm="1">
        <f t="array" ref="I132">IF(E132="Abstract","a",LOWER(_xlfn.CONCAT(LEFT(INDEX(_xlfn.TEXTSPLIT(E132," "),1),1),INDEX(_xlfn.TEXTSPLIT(E132," "),2))))</f>
        <v>f3</v>
      </c>
      <c r="J132" s="7">
        <v>4</v>
      </c>
      <c r="K132" s="9"/>
      <c r="L132" s="10"/>
      <c r="M132" s="11"/>
      <c r="N132" s="12"/>
      <c r="O132" s="13"/>
      <c r="P132" s="14"/>
      <c r="Q132" s="21"/>
      <c r="R132" s="22"/>
      <c r="S132" s="23"/>
      <c r="T132" s="15"/>
      <c r="U132" s="16"/>
      <c r="W132" t="str">
        <f>IF(G132-J132-SUM(K132:U132),G132-J132-SUM(K132:U132),"")</f>
        <v/>
      </c>
    </row>
    <row r="133" spans="1:23" x14ac:dyDescent="0.2">
      <c r="A133" s="7" t="str">
        <f t="shared" si="2"/>
        <v>acsmacrolett/9b00459_f1</v>
      </c>
      <c r="B133" s="7" t="s">
        <v>20</v>
      </c>
      <c r="C133" s="17" t="s">
        <v>124</v>
      </c>
      <c r="D133" s="7" t="s">
        <v>22</v>
      </c>
      <c r="E133" s="7" t="s">
        <v>23</v>
      </c>
      <c r="F133" s="7" t="s">
        <v>24</v>
      </c>
      <c r="G133" s="7">
        <v>2</v>
      </c>
      <c r="H133" s="7" t="str" cm="1">
        <f t="array" ref="H133">INDEX(_xlfn.TEXTSPLIT(INDEX(_xlfn.TEXTSPLIT(C133, "/"), 5), "."), 1)</f>
        <v>acsmacrolett</v>
      </c>
      <c r="I133" s="7" t="str" cm="1">
        <f t="array" ref="I133">IF(E133="Abstract","a",LOWER(_xlfn.CONCAT(LEFT(INDEX(_xlfn.TEXTSPLIT(E133," "),1),1),INDEX(_xlfn.TEXTSPLIT(E133," "),2))))</f>
        <v>f1</v>
      </c>
      <c r="J133" s="7">
        <v>2</v>
      </c>
      <c r="K133" s="9"/>
      <c r="L133" s="10"/>
      <c r="M133" s="11"/>
      <c r="N133" s="12"/>
      <c r="O133" s="13"/>
      <c r="P133" s="14"/>
      <c r="Q133" s="21"/>
      <c r="R133" s="22"/>
      <c r="S133" s="23"/>
      <c r="T133" s="15"/>
      <c r="U133" s="16"/>
      <c r="W133" t="str">
        <f>IF(G133-J133-SUM(K133:U133),G133-J133-SUM(K133:U133),"")</f>
        <v/>
      </c>
    </row>
    <row r="134" spans="1:23" x14ac:dyDescent="0.2">
      <c r="A134" s="7" t="str">
        <f t="shared" si="2"/>
        <v>acsmacrolett/9b00792_s1</v>
      </c>
      <c r="B134" s="7" t="s">
        <v>20</v>
      </c>
      <c r="C134" s="17" t="s">
        <v>125</v>
      </c>
      <c r="D134" s="7" t="s">
        <v>22</v>
      </c>
      <c r="E134" s="7" t="s">
        <v>31</v>
      </c>
      <c r="F134" s="7" t="s">
        <v>24</v>
      </c>
      <c r="G134" s="7">
        <v>1</v>
      </c>
      <c r="H134" s="7" t="str" cm="1">
        <f t="array" ref="H134">INDEX(_xlfn.TEXTSPLIT(INDEX(_xlfn.TEXTSPLIT(C134, "/"), 5), "."), 1)</f>
        <v>acsmacrolett</v>
      </c>
      <c r="I134" s="7" t="str" cm="1">
        <f t="array" ref="I134">IF(E134="Abstract","a",LOWER(_xlfn.CONCAT(LEFT(INDEX(_xlfn.TEXTSPLIT(E134," "),1),1),INDEX(_xlfn.TEXTSPLIT(E134," "),2))))</f>
        <v>s1</v>
      </c>
      <c r="J134" s="7">
        <v>1</v>
      </c>
      <c r="K134" s="9"/>
      <c r="L134" s="10"/>
      <c r="M134" s="11"/>
      <c r="N134" s="12"/>
      <c r="O134" s="13"/>
      <c r="P134" s="14"/>
      <c r="Q134" s="21"/>
      <c r="R134" s="22"/>
      <c r="S134" s="23"/>
      <c r="T134" s="15"/>
      <c r="U134" s="16"/>
      <c r="W134" t="str">
        <f>IF(G134-J134-SUM(K134:U134),G134-J134-SUM(K134:U134),"")</f>
        <v/>
      </c>
    </row>
    <row r="135" spans="1:23" x14ac:dyDescent="0.2">
      <c r="A135" s="7" t="str">
        <f t="shared" si="2"/>
        <v>acsmacrolett/9b00792_s2</v>
      </c>
      <c r="B135" s="7" t="s">
        <v>20</v>
      </c>
      <c r="C135" s="17" t="s">
        <v>125</v>
      </c>
      <c r="D135" s="7" t="s">
        <v>22</v>
      </c>
      <c r="E135" s="7" t="s">
        <v>55</v>
      </c>
      <c r="F135" s="7" t="s">
        <v>24</v>
      </c>
      <c r="G135" s="7">
        <v>4</v>
      </c>
      <c r="H135" s="7" t="str" cm="1">
        <f t="array" ref="H135">INDEX(_xlfn.TEXTSPLIT(INDEX(_xlfn.TEXTSPLIT(C135, "/"), 5), "."), 1)</f>
        <v>acsmacrolett</v>
      </c>
      <c r="I135" s="7" t="str" cm="1">
        <f t="array" ref="I135">IF(E135="Abstract","a",LOWER(_xlfn.CONCAT(LEFT(INDEX(_xlfn.TEXTSPLIT(E135," "),1),1),INDEX(_xlfn.TEXTSPLIT(E135," "),2))))</f>
        <v>s2</v>
      </c>
      <c r="J135" s="7">
        <v>4</v>
      </c>
      <c r="K135" s="9"/>
      <c r="L135" s="10"/>
      <c r="M135" s="11"/>
      <c r="N135" s="12"/>
      <c r="O135" s="13"/>
      <c r="P135" s="14"/>
      <c r="Q135" s="21"/>
      <c r="R135" s="22"/>
      <c r="S135" s="23"/>
      <c r="T135" s="15"/>
      <c r="U135" s="16"/>
      <c r="W135" t="str">
        <f>IF(G135-J135-SUM(K135:U135),G135-J135-SUM(K135:U135),"")</f>
        <v/>
      </c>
    </row>
    <row r="136" spans="1:23" x14ac:dyDescent="0.2">
      <c r="A136" s="7" t="str">
        <f t="shared" si="2"/>
        <v>acsmacrolett/9b00814_f1</v>
      </c>
      <c r="B136" s="7" t="s">
        <v>20</v>
      </c>
      <c r="C136" s="17" t="s">
        <v>126</v>
      </c>
      <c r="D136" s="7" t="s">
        <v>22</v>
      </c>
      <c r="E136" s="7" t="s">
        <v>23</v>
      </c>
      <c r="F136" s="7" t="s">
        <v>26</v>
      </c>
      <c r="G136" s="7">
        <v>1</v>
      </c>
      <c r="H136" s="7" t="str" cm="1">
        <f t="array" ref="H136">INDEX(_xlfn.TEXTSPLIT(INDEX(_xlfn.TEXTSPLIT(C136, "/"), 5), "."), 1)</f>
        <v>acsmacrolett</v>
      </c>
      <c r="I136" s="7" t="str" cm="1">
        <f t="array" ref="I136">IF(E136="Abstract","a",LOWER(_xlfn.CONCAT(LEFT(INDEX(_xlfn.TEXTSPLIT(E136," "),1),1),INDEX(_xlfn.TEXTSPLIT(E136," "),2))))</f>
        <v>f1</v>
      </c>
      <c r="J136" s="7"/>
      <c r="K136" s="9">
        <v>1</v>
      </c>
      <c r="L136" s="10"/>
      <c r="M136" s="11"/>
      <c r="N136" s="12"/>
      <c r="O136" s="13"/>
      <c r="P136" s="14"/>
      <c r="Q136" s="21"/>
      <c r="R136" s="22"/>
      <c r="S136" s="23"/>
      <c r="T136" s="15"/>
      <c r="U136" s="16"/>
      <c r="W136" t="str">
        <f>IF(G136-J136-SUM(K136:U136),G136-J136-SUM(K136:U136),"")</f>
        <v/>
      </c>
    </row>
    <row r="137" spans="1:23" x14ac:dyDescent="0.2">
      <c r="A137" s="7" t="str">
        <f t="shared" si="2"/>
        <v>acsmacrolett/9b01023_f1</v>
      </c>
      <c r="B137" s="7" t="s">
        <v>20</v>
      </c>
      <c r="C137" s="17" t="s">
        <v>127</v>
      </c>
      <c r="D137" s="7" t="s">
        <v>22</v>
      </c>
      <c r="E137" s="7" t="s">
        <v>23</v>
      </c>
      <c r="F137" s="7" t="s">
        <v>26</v>
      </c>
      <c r="G137" s="7">
        <v>1</v>
      </c>
      <c r="H137" s="7" t="str" cm="1">
        <f t="array" ref="H137">INDEX(_xlfn.TEXTSPLIT(INDEX(_xlfn.TEXTSPLIT(C137, "/"), 5), "."), 1)</f>
        <v>acsmacrolett</v>
      </c>
      <c r="I137" s="7" t="str" cm="1">
        <f t="array" ref="I137">IF(E137="Abstract","a",LOWER(_xlfn.CONCAT(LEFT(INDEX(_xlfn.TEXTSPLIT(E137," "),1),1),INDEX(_xlfn.TEXTSPLIT(E137," "),2))))</f>
        <v>f1</v>
      </c>
      <c r="J137" s="7">
        <v>1</v>
      </c>
      <c r="K137" s="9"/>
      <c r="L137" s="10"/>
      <c r="M137" s="11"/>
      <c r="N137" s="12"/>
      <c r="O137" s="13"/>
      <c r="P137" s="14"/>
      <c r="Q137" s="21"/>
      <c r="R137" s="22"/>
      <c r="S137" s="23"/>
      <c r="T137" s="15"/>
      <c r="U137" s="16"/>
      <c r="W137" t="str">
        <f>IF(G137-J137-SUM(K137:U137),G137-J137-SUM(K137:U137),"")</f>
        <v/>
      </c>
    </row>
    <row r="138" spans="1:23" x14ac:dyDescent="0.2">
      <c r="A138" s="7" t="str">
        <f t="shared" si="2"/>
        <v>acspolymersau/1c00005_f4</v>
      </c>
      <c r="B138" s="7" t="s">
        <v>128</v>
      </c>
      <c r="C138" s="17" t="s">
        <v>129</v>
      </c>
      <c r="D138" s="7" t="s">
        <v>22</v>
      </c>
      <c r="E138" s="7" t="s">
        <v>42</v>
      </c>
      <c r="F138" s="7" t="s">
        <v>40</v>
      </c>
      <c r="G138" s="7">
        <v>1</v>
      </c>
      <c r="H138" s="7" t="str" cm="1">
        <f t="array" ref="H138">INDEX(_xlfn.TEXTSPLIT(INDEX(_xlfn.TEXTSPLIT(C138, "/"), 5), "."), 1)</f>
        <v>acspolymersau</v>
      </c>
      <c r="I138" s="7" t="str" cm="1">
        <f t="array" ref="I138">IF(E138="Abstract","a",LOWER(_xlfn.CONCAT(LEFT(INDEX(_xlfn.TEXTSPLIT(E138," "),1),1),INDEX(_xlfn.TEXTSPLIT(E138," "),2))))</f>
        <v>f4</v>
      </c>
      <c r="J138" s="7">
        <v>1</v>
      </c>
      <c r="K138" s="9"/>
      <c r="L138" s="10"/>
      <c r="M138" s="11"/>
      <c r="N138" s="12"/>
      <c r="O138" s="13"/>
      <c r="P138" s="14"/>
      <c r="Q138" s="21"/>
      <c r="R138" s="22"/>
      <c r="S138" s="23"/>
      <c r="T138" s="15"/>
      <c r="U138" s="16"/>
      <c r="W138" t="str">
        <f>IF(G138-J138-SUM(K138:U138),G138-J138-SUM(K138:U138),"")</f>
        <v/>
      </c>
    </row>
    <row r="139" spans="1:23" s="6" customFormat="1" x14ac:dyDescent="0.2">
      <c r="A139" s="8" t="str">
        <f t="shared" si="2"/>
        <v>acspolymersau/1c00005_f7</v>
      </c>
      <c r="B139" s="8" t="s">
        <v>128</v>
      </c>
      <c r="C139" s="20" t="s">
        <v>129</v>
      </c>
      <c r="D139" s="8" t="s">
        <v>22</v>
      </c>
      <c r="E139" s="8" t="s">
        <v>130</v>
      </c>
      <c r="F139" s="8" t="s">
        <v>40</v>
      </c>
      <c r="G139" s="8">
        <v>2</v>
      </c>
      <c r="H139" s="8" t="str" cm="1">
        <f t="array" ref="H139">INDEX(_xlfn.TEXTSPLIT(INDEX(_xlfn.TEXTSPLIT(C139, "/"), 5), "."), 1)</f>
        <v>acspolymersau</v>
      </c>
      <c r="I139" s="8" t="str" cm="1">
        <f t="array" ref="I139">IF(E139="Abstract","a",LOWER(_xlfn.CONCAT(LEFT(INDEX(_xlfn.TEXTSPLIT(E139," "),1),1),INDEX(_xlfn.TEXTSPLIT(E139," "),2))))</f>
        <v>f7</v>
      </c>
      <c r="J139" s="8">
        <v>1</v>
      </c>
      <c r="K139" s="9"/>
      <c r="L139" s="10"/>
      <c r="M139" s="11"/>
      <c r="N139" s="12"/>
      <c r="O139" s="13"/>
      <c r="P139" s="14"/>
      <c r="Q139" s="21"/>
      <c r="R139" s="22"/>
      <c r="S139" s="23"/>
      <c r="T139" s="15">
        <v>1</v>
      </c>
      <c r="U139" s="16"/>
      <c r="W139" s="6" t="str">
        <f>IF(G139-J139-SUM(K139:U139),G139-J139-SUM(K139:U139),"")</f>
        <v/>
      </c>
    </row>
    <row r="140" spans="1:23" x14ac:dyDescent="0.2">
      <c r="A140" s="7" t="str">
        <f t="shared" si="2"/>
        <v>acspolymersau/1c00008_f1</v>
      </c>
      <c r="B140" s="7" t="s">
        <v>128</v>
      </c>
      <c r="C140" s="17" t="s">
        <v>131</v>
      </c>
      <c r="D140" s="7" t="s">
        <v>22</v>
      </c>
      <c r="E140" s="7" t="s">
        <v>23</v>
      </c>
      <c r="F140" s="7" t="s">
        <v>40</v>
      </c>
      <c r="G140" s="7">
        <v>2</v>
      </c>
      <c r="H140" s="7" t="str" cm="1">
        <f t="array" ref="H140">INDEX(_xlfn.TEXTSPLIT(INDEX(_xlfn.TEXTSPLIT(C140, "/"), 5), "."), 1)</f>
        <v>acspolymersau</v>
      </c>
      <c r="I140" s="7" t="str" cm="1">
        <f t="array" ref="I140">IF(E140="Abstract","a",LOWER(_xlfn.CONCAT(LEFT(INDEX(_xlfn.TEXTSPLIT(E140," "),1),1),INDEX(_xlfn.TEXTSPLIT(E140," "),2))))</f>
        <v>f1</v>
      </c>
      <c r="J140" s="7">
        <v>1</v>
      </c>
      <c r="K140" s="9"/>
      <c r="L140" s="10">
        <v>1</v>
      </c>
      <c r="M140" s="11"/>
      <c r="N140" s="12"/>
      <c r="O140" s="13"/>
      <c r="P140" s="14"/>
      <c r="Q140" s="21"/>
      <c r="R140" s="22"/>
      <c r="S140" s="23"/>
      <c r="T140" s="15"/>
      <c r="U140" s="16"/>
      <c r="W140" t="str">
        <f>IF(G140-J140-SUM(K140:U140),G140-J140-SUM(K140:U140),"")</f>
        <v/>
      </c>
    </row>
    <row r="141" spans="1:23" x14ac:dyDescent="0.2">
      <c r="A141" s="7" t="str">
        <f t="shared" si="2"/>
        <v>acspolymersau/1c00010_s1</v>
      </c>
      <c r="B141" s="7" t="s">
        <v>128</v>
      </c>
      <c r="C141" s="17" t="s">
        <v>132</v>
      </c>
      <c r="D141" s="7" t="s">
        <v>22</v>
      </c>
      <c r="E141" s="7" t="s">
        <v>31</v>
      </c>
      <c r="F141" s="7" t="s">
        <v>33</v>
      </c>
      <c r="G141" s="7">
        <v>2</v>
      </c>
      <c r="H141" s="7" t="str" cm="1">
        <f t="array" ref="H141">INDEX(_xlfn.TEXTSPLIT(INDEX(_xlfn.TEXTSPLIT(C141, "/"), 5), "."), 1)</f>
        <v>acspolymersau</v>
      </c>
      <c r="I141" s="7" t="str" cm="1">
        <f t="array" ref="I141">IF(E141="Abstract","a",LOWER(_xlfn.CONCAT(LEFT(INDEX(_xlfn.TEXTSPLIT(E141," "),1),1),INDEX(_xlfn.TEXTSPLIT(E141," "),2))))</f>
        <v>s1</v>
      </c>
      <c r="J141" s="7"/>
      <c r="K141" s="9"/>
      <c r="L141" s="10"/>
      <c r="M141" s="11">
        <v>2</v>
      </c>
      <c r="N141" s="12"/>
      <c r="O141" s="13"/>
      <c r="P141" s="14"/>
      <c r="Q141" s="21"/>
      <c r="R141" s="22"/>
      <c r="S141" s="23"/>
      <c r="T141" s="15"/>
      <c r="U141" s="16"/>
      <c r="W141" t="str">
        <f>IF(G141-J141-SUM(K141:U141),G141-J141-SUM(K141:U141),"")</f>
        <v/>
      </c>
    </row>
    <row r="142" spans="1:23" x14ac:dyDescent="0.2">
      <c r="A142" s="7" t="str">
        <f t="shared" si="2"/>
        <v>acspolymersau/1c00010_s2</v>
      </c>
      <c r="B142" s="7" t="s">
        <v>128</v>
      </c>
      <c r="C142" s="17" t="s">
        <v>132</v>
      </c>
      <c r="D142" s="7" t="s">
        <v>22</v>
      </c>
      <c r="E142" s="7" t="s">
        <v>55</v>
      </c>
      <c r="F142" s="7" t="s">
        <v>33</v>
      </c>
      <c r="G142" s="7">
        <v>2</v>
      </c>
      <c r="H142" s="7" t="str" cm="1">
        <f t="array" ref="H142">INDEX(_xlfn.TEXTSPLIT(INDEX(_xlfn.TEXTSPLIT(C142, "/"), 5), "."), 1)</f>
        <v>acspolymersau</v>
      </c>
      <c r="I142" s="7" t="str" cm="1">
        <f t="array" ref="I142">IF(E142="Abstract","a",LOWER(_xlfn.CONCAT(LEFT(INDEX(_xlfn.TEXTSPLIT(E142," "),1),1),INDEX(_xlfn.TEXTSPLIT(E142," "),2))))</f>
        <v>s2</v>
      </c>
      <c r="J142" s="7"/>
      <c r="K142" s="9">
        <v>1</v>
      </c>
      <c r="L142" s="10"/>
      <c r="M142" s="11">
        <v>1</v>
      </c>
      <c r="N142" s="12"/>
      <c r="O142" s="13"/>
      <c r="P142" s="14"/>
      <c r="Q142" s="21"/>
      <c r="R142" s="22"/>
      <c r="S142" s="23"/>
      <c r="T142" s="15"/>
      <c r="U142" s="16"/>
      <c r="W142" t="str">
        <f>IF(G142-J142-SUM(K142:U142),G142-J142-SUM(K142:U142),"")</f>
        <v/>
      </c>
    </row>
    <row r="143" spans="1:23" x14ac:dyDescent="0.2">
      <c r="A143" s="7" t="str">
        <f t="shared" si="2"/>
        <v>acspolymersau/1c00011_s1</v>
      </c>
      <c r="B143" s="7" t="s">
        <v>128</v>
      </c>
      <c r="C143" s="17" t="s">
        <v>133</v>
      </c>
      <c r="D143" s="7" t="s">
        <v>22</v>
      </c>
      <c r="E143" s="7" t="s">
        <v>31</v>
      </c>
      <c r="F143" s="7" t="s">
        <v>40</v>
      </c>
      <c r="G143" s="7">
        <v>5</v>
      </c>
      <c r="H143" s="7" t="str" cm="1">
        <f t="array" ref="H143">INDEX(_xlfn.TEXTSPLIT(INDEX(_xlfn.TEXTSPLIT(C143, "/"), 5), "."), 1)</f>
        <v>acspolymersau</v>
      </c>
      <c r="I143" s="7" t="str" cm="1">
        <f t="array" ref="I143">IF(E143="Abstract","a",LOWER(_xlfn.CONCAT(LEFT(INDEX(_xlfn.TEXTSPLIT(E143," "),1),1),INDEX(_xlfn.TEXTSPLIT(E143," "),2))))</f>
        <v>s1</v>
      </c>
      <c r="J143" s="7">
        <v>4</v>
      </c>
      <c r="K143" s="9"/>
      <c r="L143" s="10"/>
      <c r="M143" s="11"/>
      <c r="N143" s="12"/>
      <c r="O143" s="13"/>
      <c r="P143" s="14">
        <v>1</v>
      </c>
      <c r="Q143" s="21"/>
      <c r="R143" s="22"/>
      <c r="S143" s="23"/>
      <c r="T143" s="15"/>
      <c r="U143" s="16"/>
      <c r="W143" t="str">
        <f>IF(G143-J143-SUM(K143:U143),G143-J143-SUM(K143:U143),"")</f>
        <v/>
      </c>
    </row>
    <row r="144" spans="1:23" x14ac:dyDescent="0.2">
      <c r="A144" s="7" t="str">
        <f t="shared" si="2"/>
        <v>acspolymersau/1c00011_si_ps2</v>
      </c>
      <c r="B144" s="7" t="s">
        <v>128</v>
      </c>
      <c r="C144" s="17" t="s">
        <v>133</v>
      </c>
      <c r="D144" s="7" t="s">
        <v>134</v>
      </c>
      <c r="E144" s="7" t="s">
        <v>135</v>
      </c>
      <c r="F144" s="7" t="s">
        <v>40</v>
      </c>
      <c r="G144" s="7">
        <v>1</v>
      </c>
      <c r="H144" s="7" t="str" cm="1">
        <f t="array" ref="H144">INDEX(_xlfn.TEXTSPLIT(INDEX(_xlfn.TEXTSPLIT(C144, "/"), 5), "."), 1)</f>
        <v>acspolymersau</v>
      </c>
      <c r="I144" s="7" t="str" cm="1">
        <f t="array" ref="I144">IF(E144="Abstract","a",LOWER(_xlfn.CONCAT(LEFT(INDEX(_xlfn.TEXTSPLIT(E144," "),1),1),INDEX(_xlfn.TEXTSPLIT(E144," "),2))))</f>
        <v>ps2</v>
      </c>
      <c r="J144" s="7">
        <v>1</v>
      </c>
      <c r="K144" s="9"/>
      <c r="L144" s="10"/>
      <c r="M144" s="11"/>
      <c r="N144" s="12"/>
      <c r="O144" s="13"/>
      <c r="P144" s="14"/>
      <c r="Q144" s="21"/>
      <c r="R144" s="22"/>
      <c r="S144" s="23"/>
      <c r="T144" s="15"/>
      <c r="U144" s="16"/>
      <c r="W144" t="str">
        <f>IF(G144-J144-SUM(K144:U144),G144-J144-SUM(K144:U144),"")</f>
        <v/>
      </c>
    </row>
    <row r="145" spans="1:23" x14ac:dyDescent="0.2">
      <c r="A145" s="7" t="str">
        <f t="shared" si="2"/>
        <v>acspolymersau/1c00012_f5</v>
      </c>
      <c r="B145" s="7" t="s">
        <v>128</v>
      </c>
      <c r="C145" s="17" t="s">
        <v>136</v>
      </c>
      <c r="D145" s="7" t="s">
        <v>22</v>
      </c>
      <c r="E145" s="7" t="s">
        <v>80</v>
      </c>
      <c r="F145" s="7" t="s">
        <v>40</v>
      </c>
      <c r="G145" s="7">
        <v>3</v>
      </c>
      <c r="H145" s="7" t="str" cm="1">
        <f t="array" ref="H145">INDEX(_xlfn.TEXTSPLIT(INDEX(_xlfn.TEXTSPLIT(C145, "/"), 5), "."), 1)</f>
        <v>acspolymersau</v>
      </c>
      <c r="I145" s="7" t="str" cm="1">
        <f t="array" ref="I145">IF(E145="Abstract","a",LOWER(_xlfn.CONCAT(LEFT(INDEX(_xlfn.TEXTSPLIT(E145," "),1),1),INDEX(_xlfn.TEXTSPLIT(E145," "),2))))</f>
        <v>f5</v>
      </c>
      <c r="J145" s="7"/>
      <c r="K145" s="9"/>
      <c r="L145" s="10"/>
      <c r="M145" s="11"/>
      <c r="N145" s="12"/>
      <c r="O145" s="13"/>
      <c r="P145" s="14"/>
      <c r="Q145" s="21"/>
      <c r="R145" s="22"/>
      <c r="S145" s="23"/>
      <c r="T145" s="15">
        <v>3</v>
      </c>
      <c r="U145" s="16"/>
      <c r="W145" t="str">
        <f>IF(G145-J145-SUM(K145:U145),G145-J145-SUM(K145:U145),"")</f>
        <v/>
      </c>
    </row>
    <row r="146" spans="1:23" x14ac:dyDescent="0.2">
      <c r="A146" s="7" t="str">
        <f t="shared" si="2"/>
        <v>acspolymersau/1c00015_f6</v>
      </c>
      <c r="B146" s="7" t="s">
        <v>128</v>
      </c>
      <c r="C146" s="17" t="s">
        <v>137</v>
      </c>
      <c r="D146" s="7" t="s">
        <v>22</v>
      </c>
      <c r="E146" s="7" t="s">
        <v>138</v>
      </c>
      <c r="F146" s="7" t="s">
        <v>40</v>
      </c>
      <c r="G146" s="7">
        <v>1</v>
      </c>
      <c r="H146" s="7" t="str" cm="1">
        <f t="array" ref="H146">INDEX(_xlfn.TEXTSPLIT(INDEX(_xlfn.TEXTSPLIT(C146, "/"), 5), "."), 1)</f>
        <v>acspolymersau</v>
      </c>
      <c r="I146" s="7" t="str" cm="1">
        <f t="array" ref="I146">IF(E146="Abstract","a",LOWER(_xlfn.CONCAT(LEFT(INDEX(_xlfn.TEXTSPLIT(E146," "),1),1),INDEX(_xlfn.TEXTSPLIT(E146," "),2))))</f>
        <v>f6</v>
      </c>
      <c r="J146" s="7"/>
      <c r="K146" s="9"/>
      <c r="L146" s="10"/>
      <c r="M146" s="11">
        <v>1</v>
      </c>
      <c r="N146" s="12"/>
      <c r="O146" s="13"/>
      <c r="P146" s="14"/>
      <c r="Q146" s="21"/>
      <c r="R146" s="22"/>
      <c r="S146" s="23"/>
      <c r="T146" s="15"/>
      <c r="U146" s="16"/>
      <c r="W146" t="str">
        <f>IF(G146-J146-SUM(K146:U146),G146-J146-SUM(K146:U146),"")</f>
        <v/>
      </c>
    </row>
    <row r="147" spans="1:23" x14ac:dyDescent="0.2">
      <c r="A147" s="7" t="str">
        <f t="shared" si="2"/>
        <v>acspolymersau/1c00017_f1</v>
      </c>
      <c r="B147" s="7" t="s">
        <v>128</v>
      </c>
      <c r="C147" s="17" t="s">
        <v>139</v>
      </c>
      <c r="D147" s="7" t="s">
        <v>22</v>
      </c>
      <c r="E147" s="7" t="s">
        <v>23</v>
      </c>
      <c r="F147" s="7" t="s">
        <v>40</v>
      </c>
      <c r="G147" s="7">
        <v>2</v>
      </c>
      <c r="H147" s="7" t="str" cm="1">
        <f t="array" ref="H147">INDEX(_xlfn.TEXTSPLIT(INDEX(_xlfn.TEXTSPLIT(C147, "/"), 5), "."), 1)</f>
        <v>acspolymersau</v>
      </c>
      <c r="I147" s="7" t="str" cm="1">
        <f t="array" ref="I147">IF(E147="Abstract","a",LOWER(_xlfn.CONCAT(LEFT(INDEX(_xlfn.TEXTSPLIT(E147," "),1),1),INDEX(_xlfn.TEXTSPLIT(E147," "),2))))</f>
        <v>f1</v>
      </c>
      <c r="J147" s="7"/>
      <c r="K147" s="9"/>
      <c r="L147" s="10"/>
      <c r="M147" s="11">
        <v>2</v>
      </c>
      <c r="N147" s="12"/>
      <c r="O147" s="13"/>
      <c r="P147" s="14"/>
      <c r="Q147" s="21"/>
      <c r="R147" s="22"/>
      <c r="S147" s="23"/>
      <c r="T147" s="15"/>
      <c r="U147" s="16"/>
      <c r="W147" t="str">
        <f>IF(G147-J147-SUM(K147:U147),G147-J147-SUM(K147:U147),"")</f>
        <v/>
      </c>
    </row>
    <row r="148" spans="1:23" x14ac:dyDescent="0.2">
      <c r="A148" s="7" t="str">
        <f t="shared" si="2"/>
        <v>acspolymersau/1c00017_si_fs2</v>
      </c>
      <c r="B148" s="7" t="s">
        <v>128</v>
      </c>
      <c r="C148" s="17" t="s">
        <v>139</v>
      </c>
      <c r="D148" s="7" t="s">
        <v>134</v>
      </c>
      <c r="E148" s="7" t="s">
        <v>140</v>
      </c>
      <c r="F148" s="7" t="s">
        <v>40</v>
      </c>
      <c r="G148" s="7">
        <v>1</v>
      </c>
      <c r="H148" s="7" t="str" cm="1">
        <f t="array" ref="H148">INDEX(_xlfn.TEXTSPLIT(INDEX(_xlfn.TEXTSPLIT(C148, "/"), 5), "."), 1)</f>
        <v>acspolymersau</v>
      </c>
      <c r="I148" s="7" t="str" cm="1">
        <f t="array" ref="I148">IF(E148="Abstract","a",LOWER(_xlfn.CONCAT(LEFT(INDEX(_xlfn.TEXTSPLIT(E148," "),1),1),INDEX(_xlfn.TEXTSPLIT(E148," "),2))))</f>
        <v>fs2</v>
      </c>
      <c r="J148" s="7"/>
      <c r="K148" s="9"/>
      <c r="L148" s="10"/>
      <c r="M148" s="11">
        <v>1</v>
      </c>
      <c r="N148" s="12"/>
      <c r="O148" s="13"/>
      <c r="P148" s="14"/>
      <c r="Q148" s="21"/>
      <c r="R148" s="22"/>
      <c r="S148" s="23"/>
      <c r="T148" s="15"/>
      <c r="U148" s="16"/>
      <c r="W148" t="str">
        <f>IF(G148-J148-SUM(K148:U148),G148-J148-SUM(K148:U148),"")</f>
        <v/>
      </c>
    </row>
    <row r="149" spans="1:23" x14ac:dyDescent="0.2">
      <c r="A149" s="7" t="str">
        <f t="shared" si="2"/>
        <v>acspolymersau/1c00021_f1</v>
      </c>
      <c r="B149" s="7" t="s">
        <v>128</v>
      </c>
      <c r="C149" s="17" t="s">
        <v>141</v>
      </c>
      <c r="D149" s="7" t="s">
        <v>22</v>
      </c>
      <c r="E149" s="7" t="s">
        <v>23</v>
      </c>
      <c r="F149" s="7" t="s">
        <v>40</v>
      </c>
      <c r="G149" s="7">
        <v>1</v>
      </c>
      <c r="H149" s="7" t="str" cm="1">
        <f t="array" ref="H149">INDEX(_xlfn.TEXTSPLIT(INDEX(_xlfn.TEXTSPLIT(C149, "/"), 5), "."), 1)</f>
        <v>acspolymersau</v>
      </c>
      <c r="I149" s="7" t="str" cm="1">
        <f t="array" ref="I149">IF(E149="Abstract","a",LOWER(_xlfn.CONCAT(LEFT(INDEX(_xlfn.TEXTSPLIT(E149," "),1),1),INDEX(_xlfn.TEXTSPLIT(E149," "),2))))</f>
        <v>f1</v>
      </c>
      <c r="J149" s="7">
        <v>1</v>
      </c>
      <c r="K149" s="9"/>
      <c r="L149" s="10"/>
      <c r="M149" s="11"/>
      <c r="N149" s="12"/>
      <c r="O149" s="13"/>
      <c r="P149" s="14"/>
      <c r="Q149" s="21"/>
      <c r="R149" s="22"/>
      <c r="S149" s="23"/>
      <c r="T149" s="15"/>
      <c r="U149" s="16"/>
      <c r="W149" t="str">
        <f>IF(G149-J149-SUM(K149:U149),G149-J149-SUM(K149:U149),"")</f>
        <v/>
      </c>
    </row>
    <row r="150" spans="1:23" x14ac:dyDescent="0.2">
      <c r="A150" s="7" t="str">
        <f t="shared" si="2"/>
        <v>acspolymersau/1c00021_f2</v>
      </c>
      <c r="B150" s="7" t="s">
        <v>128</v>
      </c>
      <c r="C150" s="17" t="s">
        <v>141</v>
      </c>
      <c r="D150" s="7" t="s">
        <v>22</v>
      </c>
      <c r="E150" s="7" t="s">
        <v>29</v>
      </c>
      <c r="F150" s="7" t="s">
        <v>40</v>
      </c>
      <c r="G150" s="7">
        <v>1</v>
      </c>
      <c r="H150" s="7" t="str" cm="1">
        <f t="array" ref="H150">INDEX(_xlfn.TEXTSPLIT(INDEX(_xlfn.TEXTSPLIT(C150, "/"), 5), "."), 1)</f>
        <v>acspolymersau</v>
      </c>
      <c r="I150" s="7" t="str" cm="1">
        <f t="array" ref="I150">IF(E150="Abstract","a",LOWER(_xlfn.CONCAT(LEFT(INDEX(_xlfn.TEXTSPLIT(E150," "),1),1),INDEX(_xlfn.TEXTSPLIT(E150," "),2))))</f>
        <v>f2</v>
      </c>
      <c r="J150" s="7">
        <v>1</v>
      </c>
      <c r="K150" s="9"/>
      <c r="L150" s="10"/>
      <c r="M150" s="11"/>
      <c r="N150" s="12"/>
      <c r="O150" s="13"/>
      <c r="P150" s="14"/>
      <c r="Q150" s="21"/>
      <c r="R150" s="22"/>
      <c r="S150" s="23"/>
      <c r="T150" s="15"/>
      <c r="U150" s="16"/>
      <c r="W150" t="str">
        <f>IF(G150-J150-SUM(K150:U150),G150-J150-SUM(K150:U150),"")</f>
        <v/>
      </c>
    </row>
    <row r="151" spans="1:23" x14ac:dyDescent="0.2">
      <c r="A151" s="7" t="str">
        <f t="shared" si="2"/>
        <v>acspolymersau/1c00024_f1</v>
      </c>
      <c r="B151" s="7" t="s">
        <v>128</v>
      </c>
      <c r="C151" s="17" t="s">
        <v>142</v>
      </c>
      <c r="D151" s="7" t="s">
        <v>22</v>
      </c>
      <c r="E151" s="7" t="s">
        <v>23</v>
      </c>
      <c r="F151" s="7" t="s">
        <v>40</v>
      </c>
      <c r="G151" s="7">
        <v>2</v>
      </c>
      <c r="H151" s="7" t="str" cm="1">
        <f t="array" ref="H151">INDEX(_xlfn.TEXTSPLIT(INDEX(_xlfn.TEXTSPLIT(C151, "/"), 5), "."), 1)</f>
        <v>acspolymersau</v>
      </c>
      <c r="I151" s="7" t="str" cm="1">
        <f t="array" ref="I151">IF(E151="Abstract","a",LOWER(_xlfn.CONCAT(LEFT(INDEX(_xlfn.TEXTSPLIT(E151," "),1),1),INDEX(_xlfn.TEXTSPLIT(E151," "),2))))</f>
        <v>f1</v>
      </c>
      <c r="J151" s="7">
        <v>2</v>
      </c>
      <c r="K151" s="9"/>
      <c r="L151" s="10"/>
      <c r="M151" s="11"/>
      <c r="N151" s="12"/>
      <c r="O151" s="13"/>
      <c r="P151" s="14"/>
      <c r="Q151" s="21"/>
      <c r="R151" s="22"/>
      <c r="S151" s="23"/>
      <c r="T151" s="15"/>
      <c r="U151" s="16"/>
      <c r="W151" t="str">
        <f>IF(G151-J151-SUM(K151:U151),G151-J151-SUM(K151:U151),"")</f>
        <v/>
      </c>
    </row>
    <row r="152" spans="1:23" x14ac:dyDescent="0.2">
      <c r="A152" s="7" t="str">
        <f t="shared" si="2"/>
        <v>acspolymersau/1c00027_a</v>
      </c>
      <c r="B152" s="7" t="s">
        <v>128</v>
      </c>
      <c r="C152" s="17" t="s">
        <v>143</v>
      </c>
      <c r="D152" s="7" t="s">
        <v>22</v>
      </c>
      <c r="E152" s="7" t="s">
        <v>47</v>
      </c>
      <c r="F152" s="7" t="s">
        <v>40</v>
      </c>
      <c r="G152" s="7">
        <v>4</v>
      </c>
      <c r="H152" s="7" t="str" cm="1">
        <f t="array" ref="H152">INDEX(_xlfn.TEXTSPLIT(INDEX(_xlfn.TEXTSPLIT(C152, "/"), 5), "."), 1)</f>
        <v>acspolymersau</v>
      </c>
      <c r="I152" s="7" t="str" cm="1">
        <f t="array" ref="I152">IF(E152="Abstract","a",LOWER(_xlfn.CONCAT(LEFT(INDEX(_xlfn.TEXTSPLIT(E152," "),1),1),INDEX(_xlfn.TEXTSPLIT(E152," "),2))))</f>
        <v>a</v>
      </c>
      <c r="J152" s="7">
        <v>4</v>
      </c>
      <c r="K152" s="9"/>
      <c r="L152" s="10"/>
      <c r="M152" s="11"/>
      <c r="N152" s="12"/>
      <c r="O152" s="13"/>
      <c r="P152" s="14"/>
      <c r="Q152" s="21"/>
      <c r="R152" s="22"/>
      <c r="S152" s="23"/>
      <c r="T152" s="15"/>
      <c r="U152" s="16"/>
      <c r="W152" t="str">
        <f>IF(G152-J152-SUM(K152:U152),G152-J152-SUM(K152:U152),"")</f>
        <v/>
      </c>
    </row>
    <row r="153" spans="1:23" x14ac:dyDescent="0.2">
      <c r="A153" s="7" t="str">
        <f t="shared" si="2"/>
        <v>acspolymersau/1c00028_si_fs3a</v>
      </c>
      <c r="B153" s="7" t="s">
        <v>128</v>
      </c>
      <c r="C153" s="17" t="s">
        <v>144</v>
      </c>
      <c r="D153" s="7" t="s">
        <v>134</v>
      </c>
      <c r="E153" s="7" t="s">
        <v>145</v>
      </c>
      <c r="F153" s="7" t="s">
        <v>40</v>
      </c>
      <c r="G153" s="7">
        <v>1</v>
      </c>
      <c r="H153" s="7" t="str" cm="1">
        <f t="array" ref="H153">INDEX(_xlfn.TEXTSPLIT(INDEX(_xlfn.TEXTSPLIT(C153, "/"), 5), "."), 1)</f>
        <v>acspolymersau</v>
      </c>
      <c r="I153" s="7" t="str" cm="1">
        <f t="array" ref="I153">IF(E153="Abstract","a",LOWER(_xlfn.CONCAT(LEFT(INDEX(_xlfn.TEXTSPLIT(E153," "),1),1),INDEX(_xlfn.TEXTSPLIT(E153," "),2))))</f>
        <v>fs3a</v>
      </c>
      <c r="J153" s="7"/>
      <c r="K153" s="9"/>
      <c r="L153" s="10"/>
      <c r="M153" s="11"/>
      <c r="N153" s="12">
        <v>1</v>
      </c>
      <c r="O153" s="13"/>
      <c r="P153" s="14"/>
      <c r="Q153" s="21"/>
      <c r="R153" s="22"/>
      <c r="S153" s="23"/>
      <c r="T153" s="15"/>
      <c r="U153" s="16"/>
      <c r="W153" t="str">
        <f>IF(G153-J153-SUM(K153:U153),G153-J153-SUM(K153:U153),"")</f>
        <v/>
      </c>
    </row>
    <row r="154" spans="1:23" x14ac:dyDescent="0.2">
      <c r="A154" s="7" t="str">
        <f t="shared" si="2"/>
        <v>acspolymersau/1c00028_si_fs3b</v>
      </c>
      <c r="B154" s="7" t="s">
        <v>128</v>
      </c>
      <c r="C154" s="17" t="s">
        <v>144</v>
      </c>
      <c r="D154" s="7" t="s">
        <v>134</v>
      </c>
      <c r="E154" s="7" t="s">
        <v>146</v>
      </c>
      <c r="F154" s="7" t="s">
        <v>40</v>
      </c>
      <c r="G154" s="7">
        <v>1</v>
      </c>
      <c r="H154" s="7" t="str" cm="1">
        <f t="array" ref="H154">INDEX(_xlfn.TEXTSPLIT(INDEX(_xlfn.TEXTSPLIT(C154, "/"), 5), "."), 1)</f>
        <v>acspolymersau</v>
      </c>
      <c r="I154" s="7" t="str" cm="1">
        <f t="array" ref="I154">IF(E154="Abstract","a",LOWER(_xlfn.CONCAT(LEFT(INDEX(_xlfn.TEXTSPLIT(E154," "),1),1),INDEX(_xlfn.TEXTSPLIT(E154," "),2))))</f>
        <v>fs3b</v>
      </c>
      <c r="J154" s="7"/>
      <c r="K154" s="9"/>
      <c r="L154" s="10"/>
      <c r="M154" s="11"/>
      <c r="N154" s="12">
        <v>1</v>
      </c>
      <c r="O154" s="13"/>
      <c r="P154" s="14"/>
      <c r="Q154" s="21"/>
      <c r="R154" s="22"/>
      <c r="S154" s="23"/>
      <c r="T154" s="15"/>
      <c r="U154" s="16"/>
      <c r="W154" t="str">
        <f>IF(G154-J154-SUM(K154:U154),G154-J154-SUM(K154:U154),"")</f>
        <v/>
      </c>
    </row>
    <row r="155" spans="1:23" x14ac:dyDescent="0.2">
      <c r="A155" s="7" t="str">
        <f t="shared" si="2"/>
        <v>acspolymersau/1c00028_si_fs3c</v>
      </c>
      <c r="B155" s="7" t="s">
        <v>128</v>
      </c>
      <c r="C155" s="17" t="s">
        <v>144</v>
      </c>
      <c r="D155" s="7" t="s">
        <v>134</v>
      </c>
      <c r="E155" s="7" t="s">
        <v>147</v>
      </c>
      <c r="F155" s="7" t="s">
        <v>40</v>
      </c>
      <c r="G155" s="7">
        <v>1</v>
      </c>
      <c r="H155" s="7" t="str" cm="1">
        <f t="array" ref="H155">INDEX(_xlfn.TEXTSPLIT(INDEX(_xlfn.TEXTSPLIT(C155, "/"), 5), "."), 1)</f>
        <v>acspolymersau</v>
      </c>
      <c r="I155" s="7" t="str" cm="1">
        <f t="array" ref="I155">IF(E155="Abstract","a",LOWER(_xlfn.CONCAT(LEFT(INDEX(_xlfn.TEXTSPLIT(E155," "),1),1),INDEX(_xlfn.TEXTSPLIT(E155," "),2))))</f>
        <v>fs3c</v>
      </c>
      <c r="J155" s="7"/>
      <c r="K155" s="9"/>
      <c r="L155" s="10"/>
      <c r="M155" s="11">
        <v>1</v>
      </c>
      <c r="N155" s="12"/>
      <c r="O155" s="13"/>
      <c r="P155" s="14"/>
      <c r="Q155" s="21"/>
      <c r="R155" s="22"/>
      <c r="S155" s="23"/>
      <c r="T155" s="15"/>
      <c r="U155" s="16"/>
      <c r="W155" t="str">
        <f>IF(G155-J155-SUM(K155:U155),G155-J155-SUM(K155:U155),"")</f>
        <v/>
      </c>
    </row>
    <row r="156" spans="1:23" x14ac:dyDescent="0.2">
      <c r="A156" s="7" t="str">
        <f t="shared" si="2"/>
        <v>acspolymersau/1c00028_si_fs3d</v>
      </c>
      <c r="B156" s="7" t="s">
        <v>128</v>
      </c>
      <c r="C156" s="17" t="s">
        <v>144</v>
      </c>
      <c r="D156" s="7" t="s">
        <v>134</v>
      </c>
      <c r="E156" s="7" t="s">
        <v>148</v>
      </c>
      <c r="F156" s="7" t="s">
        <v>40</v>
      </c>
      <c r="G156" s="7">
        <v>1</v>
      </c>
      <c r="H156" s="7" t="str" cm="1">
        <f t="array" ref="H156">INDEX(_xlfn.TEXTSPLIT(INDEX(_xlfn.TEXTSPLIT(C156, "/"), 5), "."), 1)</f>
        <v>acspolymersau</v>
      </c>
      <c r="I156" s="7" t="str" cm="1">
        <f t="array" ref="I156">IF(E156="Abstract","a",LOWER(_xlfn.CONCAT(LEFT(INDEX(_xlfn.TEXTSPLIT(E156," "),1),1),INDEX(_xlfn.TEXTSPLIT(E156," "),2))))</f>
        <v>fs3d</v>
      </c>
      <c r="J156" s="7"/>
      <c r="K156" s="9"/>
      <c r="L156" s="10"/>
      <c r="M156" s="11"/>
      <c r="N156" s="12">
        <v>1</v>
      </c>
      <c r="O156" s="13"/>
      <c r="P156" s="14"/>
      <c r="Q156" s="21"/>
      <c r="R156" s="22"/>
      <c r="S156" s="23"/>
      <c r="T156" s="15"/>
      <c r="U156" s="16"/>
      <c r="W156" t="str">
        <f>IF(G156-J156-SUM(K156:U156),G156-J156-SUM(K156:U156),"")</f>
        <v/>
      </c>
    </row>
    <row r="157" spans="1:23" x14ac:dyDescent="0.2">
      <c r="A157" s="7" t="str">
        <f t="shared" si="2"/>
        <v>acspolymersau/1c00028_si_fs3e</v>
      </c>
      <c r="B157" s="7" t="s">
        <v>128</v>
      </c>
      <c r="C157" s="17" t="s">
        <v>144</v>
      </c>
      <c r="D157" s="7" t="s">
        <v>134</v>
      </c>
      <c r="E157" s="7" t="s">
        <v>149</v>
      </c>
      <c r="F157" s="7" t="s">
        <v>40</v>
      </c>
      <c r="G157" s="7">
        <v>1</v>
      </c>
      <c r="H157" s="7" t="str" cm="1">
        <f t="array" ref="H157">INDEX(_xlfn.TEXTSPLIT(INDEX(_xlfn.TEXTSPLIT(C157, "/"), 5), "."), 1)</f>
        <v>acspolymersau</v>
      </c>
      <c r="I157" s="7" t="str" cm="1">
        <f t="array" ref="I157">IF(E157="Abstract","a",LOWER(_xlfn.CONCAT(LEFT(INDEX(_xlfn.TEXTSPLIT(E157," "),1),1),INDEX(_xlfn.TEXTSPLIT(E157," "),2))))</f>
        <v>fs3e</v>
      </c>
      <c r="J157" s="7"/>
      <c r="K157" s="9"/>
      <c r="L157" s="10"/>
      <c r="M157" s="11"/>
      <c r="N157" s="12">
        <v>1</v>
      </c>
      <c r="O157" s="13"/>
      <c r="P157" s="14"/>
      <c r="Q157" s="21"/>
      <c r="R157" s="22"/>
      <c r="S157" s="23"/>
      <c r="T157" s="15"/>
      <c r="U157" s="16"/>
      <c r="W157" t="str">
        <f>IF(G157-J157-SUM(K157:U157),G157-J157-SUM(K157:U157),"")</f>
        <v/>
      </c>
    </row>
    <row r="158" spans="1:23" x14ac:dyDescent="0.2">
      <c r="A158" s="7" t="str">
        <f t="shared" si="2"/>
        <v>acspolymersau/1c00028_si_fs3f</v>
      </c>
      <c r="B158" s="7" t="s">
        <v>128</v>
      </c>
      <c r="C158" s="17" t="s">
        <v>144</v>
      </c>
      <c r="D158" s="7" t="s">
        <v>134</v>
      </c>
      <c r="E158" s="7" t="s">
        <v>150</v>
      </c>
      <c r="F158" s="7" t="s">
        <v>40</v>
      </c>
      <c r="G158" s="7">
        <v>1</v>
      </c>
      <c r="H158" s="7" t="str" cm="1">
        <f t="array" ref="H158">INDEX(_xlfn.TEXTSPLIT(INDEX(_xlfn.TEXTSPLIT(C158, "/"), 5), "."), 1)</f>
        <v>acspolymersau</v>
      </c>
      <c r="I158" s="7" t="str" cm="1">
        <f t="array" ref="I158">IF(E158="Abstract","a",LOWER(_xlfn.CONCAT(LEFT(INDEX(_xlfn.TEXTSPLIT(E158," "),1),1),INDEX(_xlfn.TEXTSPLIT(E158," "),2))))</f>
        <v>fs3f</v>
      </c>
      <c r="J158" s="7"/>
      <c r="K158" s="9"/>
      <c r="L158" s="10"/>
      <c r="M158" s="11"/>
      <c r="N158" s="12">
        <v>1</v>
      </c>
      <c r="O158" s="13"/>
      <c r="P158" s="14"/>
      <c r="Q158" s="21"/>
      <c r="R158" s="22"/>
      <c r="S158" s="23"/>
      <c r="T158" s="15"/>
      <c r="U158" s="16"/>
      <c r="W158" t="str">
        <f>IF(G158-J158-SUM(K158:U158),G158-J158-SUM(K158:U158),"")</f>
        <v/>
      </c>
    </row>
    <row r="159" spans="1:23" x14ac:dyDescent="0.2">
      <c r="A159" s="7" t="str">
        <f t="shared" si="2"/>
        <v>acspolymersau/1c00028_si_fs3g</v>
      </c>
      <c r="B159" s="7" t="s">
        <v>128</v>
      </c>
      <c r="C159" s="17" t="s">
        <v>144</v>
      </c>
      <c r="D159" s="7" t="s">
        <v>134</v>
      </c>
      <c r="E159" s="7" t="s">
        <v>151</v>
      </c>
      <c r="F159" s="7" t="s">
        <v>40</v>
      </c>
      <c r="G159" s="7">
        <v>1</v>
      </c>
      <c r="H159" s="7" t="str" cm="1">
        <f t="array" ref="H159">INDEX(_xlfn.TEXTSPLIT(INDEX(_xlfn.TEXTSPLIT(C159, "/"), 5), "."), 1)</f>
        <v>acspolymersau</v>
      </c>
      <c r="I159" s="7" t="str" cm="1">
        <f t="array" ref="I159">IF(E159="Abstract","a",LOWER(_xlfn.CONCAT(LEFT(INDEX(_xlfn.TEXTSPLIT(E159," "),1),1),INDEX(_xlfn.TEXTSPLIT(E159," "),2))))</f>
        <v>fs3g</v>
      </c>
      <c r="J159" s="7"/>
      <c r="K159" s="9"/>
      <c r="L159" s="10"/>
      <c r="M159" s="11"/>
      <c r="N159" s="12">
        <v>1</v>
      </c>
      <c r="O159" s="13"/>
      <c r="P159" s="14"/>
      <c r="Q159" s="21"/>
      <c r="R159" s="22"/>
      <c r="S159" s="23"/>
      <c r="T159" s="15"/>
      <c r="U159" s="16"/>
      <c r="W159" t="str">
        <f>IF(G159-J159-SUM(K159:U159),G159-J159-SUM(K159:U159),"")</f>
        <v/>
      </c>
    </row>
    <row r="160" spans="1:23" x14ac:dyDescent="0.2">
      <c r="A160" s="7" t="str">
        <f t="shared" si="2"/>
        <v>acspolymersau/1c00028_si_fs3h</v>
      </c>
      <c r="B160" s="7" t="s">
        <v>128</v>
      </c>
      <c r="C160" s="17" t="s">
        <v>144</v>
      </c>
      <c r="D160" s="7" t="s">
        <v>134</v>
      </c>
      <c r="E160" s="7" t="s">
        <v>152</v>
      </c>
      <c r="F160" s="7" t="s">
        <v>40</v>
      </c>
      <c r="G160" s="7">
        <v>1</v>
      </c>
      <c r="H160" s="7" t="str" cm="1">
        <f t="array" ref="H160">INDEX(_xlfn.TEXTSPLIT(INDEX(_xlfn.TEXTSPLIT(C160, "/"), 5), "."), 1)</f>
        <v>acspolymersau</v>
      </c>
      <c r="I160" s="7" t="str" cm="1">
        <f t="array" ref="I160">IF(E160="Abstract","a",LOWER(_xlfn.CONCAT(LEFT(INDEX(_xlfn.TEXTSPLIT(E160," "),1),1),INDEX(_xlfn.TEXTSPLIT(E160," "),2))))</f>
        <v>fs3h</v>
      </c>
      <c r="J160" s="7"/>
      <c r="K160" s="9"/>
      <c r="L160" s="10"/>
      <c r="M160" s="11"/>
      <c r="N160" s="12">
        <v>1</v>
      </c>
      <c r="O160" s="13"/>
      <c r="P160" s="14"/>
      <c r="Q160" s="21"/>
      <c r="R160" s="22"/>
      <c r="S160" s="23"/>
      <c r="T160" s="15"/>
      <c r="U160" s="16"/>
      <c r="W160" t="str">
        <f>IF(G160-J160-SUM(K160:U160),G160-J160-SUM(K160:U160),"")</f>
        <v/>
      </c>
    </row>
    <row r="161" spans="1:23" x14ac:dyDescent="0.2">
      <c r="A161" s="7" t="str">
        <f t="shared" si="2"/>
        <v>acspolymersau/1c00028_si_fs4a</v>
      </c>
      <c r="B161" s="7" t="s">
        <v>128</v>
      </c>
      <c r="C161" s="17" t="s">
        <v>144</v>
      </c>
      <c r="D161" s="7" t="s">
        <v>134</v>
      </c>
      <c r="E161" s="7" t="s">
        <v>153</v>
      </c>
      <c r="F161" s="7" t="s">
        <v>40</v>
      </c>
      <c r="G161" s="7">
        <v>1</v>
      </c>
      <c r="H161" s="7" t="str" cm="1">
        <f t="array" ref="H161">INDEX(_xlfn.TEXTSPLIT(INDEX(_xlfn.TEXTSPLIT(C161, "/"), 5), "."), 1)</f>
        <v>acspolymersau</v>
      </c>
      <c r="I161" s="7" t="str" cm="1">
        <f t="array" ref="I161">IF(E161="Abstract","a",LOWER(_xlfn.CONCAT(LEFT(INDEX(_xlfn.TEXTSPLIT(E161," "),1),1),INDEX(_xlfn.TEXTSPLIT(E161," "),2))))</f>
        <v>fs4a</v>
      </c>
      <c r="J161" s="7"/>
      <c r="K161" s="9"/>
      <c r="L161" s="10"/>
      <c r="M161" s="11">
        <v>1</v>
      </c>
      <c r="N161" s="12"/>
      <c r="O161" s="13"/>
      <c r="P161" s="14"/>
      <c r="Q161" s="21"/>
      <c r="R161" s="22"/>
      <c r="S161" s="23"/>
      <c r="T161" s="15"/>
      <c r="U161" s="16"/>
      <c r="W161" t="str">
        <f>IF(G161-J161-SUM(K161:U161),G161-J161-SUM(K161:U161),"")</f>
        <v/>
      </c>
    </row>
    <row r="162" spans="1:23" x14ac:dyDescent="0.2">
      <c r="A162" s="7" t="str">
        <f t="shared" si="2"/>
        <v>acspolymersau/1c00028_si_fs4b</v>
      </c>
      <c r="B162" s="7" t="s">
        <v>128</v>
      </c>
      <c r="C162" s="17" t="s">
        <v>144</v>
      </c>
      <c r="D162" s="7" t="s">
        <v>134</v>
      </c>
      <c r="E162" s="7" t="s">
        <v>154</v>
      </c>
      <c r="F162" s="7" t="s">
        <v>40</v>
      </c>
      <c r="G162" s="7">
        <v>1</v>
      </c>
      <c r="H162" s="7" t="str" cm="1">
        <f t="array" ref="H162">INDEX(_xlfn.TEXTSPLIT(INDEX(_xlfn.TEXTSPLIT(C162, "/"), 5), "."), 1)</f>
        <v>acspolymersau</v>
      </c>
      <c r="I162" s="7" t="str" cm="1">
        <f t="array" ref="I162">IF(E162="Abstract","a",LOWER(_xlfn.CONCAT(LEFT(INDEX(_xlfn.TEXTSPLIT(E162," "),1),1),INDEX(_xlfn.TEXTSPLIT(E162," "),2))))</f>
        <v>fs4b</v>
      </c>
      <c r="J162" s="7"/>
      <c r="K162" s="9"/>
      <c r="L162" s="10"/>
      <c r="M162" s="11">
        <v>1</v>
      </c>
      <c r="N162" s="12"/>
      <c r="O162" s="13"/>
      <c r="P162" s="14"/>
      <c r="Q162" s="21"/>
      <c r="R162" s="22"/>
      <c r="S162" s="23"/>
      <c r="T162" s="15"/>
      <c r="U162" s="16"/>
      <c r="W162" t="str">
        <f>IF(G162-J162-SUM(K162:U162),G162-J162-SUM(K162:U162),"")</f>
        <v/>
      </c>
    </row>
    <row r="163" spans="1:23" x14ac:dyDescent="0.2">
      <c r="A163" s="7" t="str">
        <f t="shared" si="2"/>
        <v>acspolymersau/1c00028_si_fs4c</v>
      </c>
      <c r="B163" s="7" t="s">
        <v>128</v>
      </c>
      <c r="C163" s="17" t="s">
        <v>144</v>
      </c>
      <c r="D163" s="7" t="s">
        <v>134</v>
      </c>
      <c r="E163" s="7" t="s">
        <v>155</v>
      </c>
      <c r="F163" s="7" t="s">
        <v>40</v>
      </c>
      <c r="G163" s="7">
        <v>1</v>
      </c>
      <c r="H163" s="7" t="str" cm="1">
        <f t="array" ref="H163">INDEX(_xlfn.TEXTSPLIT(INDEX(_xlfn.TEXTSPLIT(C163, "/"), 5), "."), 1)</f>
        <v>acspolymersau</v>
      </c>
      <c r="I163" s="7" t="str" cm="1">
        <f t="array" ref="I163">IF(E163="Abstract","a",LOWER(_xlfn.CONCAT(LEFT(INDEX(_xlfn.TEXTSPLIT(E163," "),1),1),INDEX(_xlfn.TEXTSPLIT(E163," "),2))))</f>
        <v>fs4c</v>
      </c>
      <c r="J163" s="7"/>
      <c r="K163" s="9"/>
      <c r="L163" s="10"/>
      <c r="M163" s="11">
        <v>1</v>
      </c>
      <c r="N163" s="12"/>
      <c r="O163" s="13"/>
      <c r="P163" s="14"/>
      <c r="Q163" s="21"/>
      <c r="R163" s="22"/>
      <c r="S163" s="23"/>
      <c r="T163" s="15"/>
      <c r="U163" s="16"/>
      <c r="W163" t="str">
        <f>IF(G163-J163-SUM(K163:U163),G163-J163-SUM(K163:U163),"")</f>
        <v/>
      </c>
    </row>
    <row r="164" spans="1:23" x14ac:dyDescent="0.2">
      <c r="A164" s="7" t="str">
        <f t="shared" si="2"/>
        <v>acspolymersau/1c00029_a</v>
      </c>
      <c r="B164" s="7" t="s">
        <v>128</v>
      </c>
      <c r="C164" s="17" t="s">
        <v>156</v>
      </c>
      <c r="D164" s="7" t="s">
        <v>22</v>
      </c>
      <c r="E164" s="7" t="s">
        <v>47</v>
      </c>
      <c r="F164" s="7" t="s">
        <v>33</v>
      </c>
      <c r="G164" s="7">
        <v>1</v>
      </c>
      <c r="H164" s="7" t="str" cm="1">
        <f t="array" ref="H164">INDEX(_xlfn.TEXTSPLIT(INDEX(_xlfn.TEXTSPLIT(C164, "/"), 5), "."), 1)</f>
        <v>acspolymersau</v>
      </c>
      <c r="I164" s="7" t="str" cm="1">
        <f t="array" ref="I164">IF(E164="Abstract","a",LOWER(_xlfn.CONCAT(LEFT(INDEX(_xlfn.TEXTSPLIT(E164," "),1),1),INDEX(_xlfn.TEXTSPLIT(E164," "),2))))</f>
        <v>a</v>
      </c>
      <c r="J164" s="7">
        <v>1</v>
      </c>
      <c r="K164" s="9"/>
      <c r="L164" s="10"/>
      <c r="M164" s="11"/>
      <c r="N164" s="12"/>
      <c r="O164" s="13"/>
      <c r="P164" s="14"/>
      <c r="Q164" s="21"/>
      <c r="R164" s="22"/>
      <c r="S164" s="23"/>
      <c r="T164" s="15"/>
      <c r="U164" s="16"/>
      <c r="W164" t="str">
        <f>IF(G164-J164-SUM(K164:U164),G164-J164-SUM(K164:U164),"")</f>
        <v/>
      </c>
    </row>
    <row r="165" spans="1:23" x14ac:dyDescent="0.2">
      <c r="A165" s="7" t="str">
        <f t="shared" si="2"/>
        <v>acspolymersau/1c00029_s1</v>
      </c>
      <c r="B165" s="7" t="s">
        <v>128</v>
      </c>
      <c r="C165" s="17" t="s">
        <v>156</v>
      </c>
      <c r="D165" s="7" t="s">
        <v>22</v>
      </c>
      <c r="E165" s="7" t="s">
        <v>31</v>
      </c>
      <c r="F165" s="7" t="s">
        <v>33</v>
      </c>
      <c r="G165" s="7">
        <v>1</v>
      </c>
      <c r="H165" s="7" t="str" cm="1">
        <f t="array" ref="H165">INDEX(_xlfn.TEXTSPLIT(INDEX(_xlfn.TEXTSPLIT(C165, "/"), 5), "."), 1)</f>
        <v>acspolymersau</v>
      </c>
      <c r="I165" s="7" t="str" cm="1">
        <f t="array" ref="I165">IF(E165="Abstract","a",LOWER(_xlfn.CONCAT(LEFT(INDEX(_xlfn.TEXTSPLIT(E165," "),1),1),INDEX(_xlfn.TEXTSPLIT(E165," "),2))))</f>
        <v>s1</v>
      </c>
      <c r="J165" s="7">
        <v>1</v>
      </c>
      <c r="K165" s="9"/>
      <c r="L165" s="10"/>
      <c r="M165" s="11"/>
      <c r="N165" s="12"/>
      <c r="O165" s="13"/>
      <c r="P165" s="14"/>
      <c r="Q165" s="21"/>
      <c r="R165" s="22"/>
      <c r="S165" s="23"/>
      <c r="T165" s="15"/>
      <c r="U165" s="16"/>
      <c r="W165" t="str">
        <f>IF(G165-J165-SUM(K165:U165),G165-J165-SUM(K165:U165),"")</f>
        <v/>
      </c>
    </row>
    <row r="166" spans="1:23" x14ac:dyDescent="0.2">
      <c r="A166" s="7" t="str">
        <f t="shared" si="2"/>
        <v>acspolymersau/1c00030_f5</v>
      </c>
      <c r="B166" s="7" t="s">
        <v>128</v>
      </c>
      <c r="C166" s="17" t="s">
        <v>157</v>
      </c>
      <c r="D166" s="7" t="s">
        <v>22</v>
      </c>
      <c r="E166" s="7" t="s">
        <v>80</v>
      </c>
      <c r="F166" s="7" t="s">
        <v>40</v>
      </c>
      <c r="G166" s="7">
        <v>2</v>
      </c>
      <c r="H166" s="7" t="str" cm="1">
        <f t="array" ref="H166">INDEX(_xlfn.TEXTSPLIT(INDEX(_xlfn.TEXTSPLIT(C166, "/"), 5), "."), 1)</f>
        <v>acspolymersau</v>
      </c>
      <c r="I166" s="7" t="str" cm="1">
        <f t="array" ref="I166">IF(E166="Abstract","a",LOWER(_xlfn.CONCAT(LEFT(INDEX(_xlfn.TEXTSPLIT(E166," "),1),1),INDEX(_xlfn.TEXTSPLIT(E166," "),2))))</f>
        <v>f5</v>
      </c>
      <c r="J166" s="7"/>
      <c r="K166" s="9">
        <v>2</v>
      </c>
      <c r="L166" s="10"/>
      <c r="M166" s="11"/>
      <c r="N166" s="12"/>
      <c r="O166" s="13"/>
      <c r="P166" s="14"/>
      <c r="Q166" s="21"/>
      <c r="R166" s="22"/>
      <c r="S166" s="23"/>
      <c r="T166" s="15"/>
      <c r="U166" s="16"/>
      <c r="W166" t="str">
        <f>IF(G166-J166-SUM(K166:U166),G166-J166-SUM(K166:U166),"")</f>
        <v/>
      </c>
    </row>
    <row r="167" spans="1:23" x14ac:dyDescent="0.2">
      <c r="A167" s="7" t="str">
        <f t="shared" si="2"/>
        <v>acspolymersau/1c00030_si_ss1</v>
      </c>
      <c r="B167" s="7" t="s">
        <v>128</v>
      </c>
      <c r="C167" s="17" t="s">
        <v>157</v>
      </c>
      <c r="D167" s="7" t="s">
        <v>134</v>
      </c>
      <c r="E167" s="7" t="s">
        <v>158</v>
      </c>
      <c r="F167" s="7" t="s">
        <v>40</v>
      </c>
      <c r="G167" s="7">
        <v>1</v>
      </c>
      <c r="H167" s="7" t="str" cm="1">
        <f t="array" ref="H167">INDEX(_xlfn.TEXTSPLIT(INDEX(_xlfn.TEXTSPLIT(C167, "/"), 5), "."), 1)</f>
        <v>acspolymersau</v>
      </c>
      <c r="I167" s="7" t="str" cm="1">
        <f t="array" ref="I167">IF(E167="Abstract","a",LOWER(_xlfn.CONCAT(LEFT(INDEX(_xlfn.TEXTSPLIT(E167," "),1),1),INDEX(_xlfn.TEXTSPLIT(E167," "),2))))</f>
        <v>ss1</v>
      </c>
      <c r="J167" s="7">
        <v>1</v>
      </c>
      <c r="K167" s="9"/>
      <c r="L167" s="10"/>
      <c r="M167" s="11"/>
      <c r="N167" s="12"/>
      <c r="O167" s="13"/>
      <c r="P167" s="14"/>
      <c r="Q167" s="21"/>
      <c r="R167" s="22"/>
      <c r="S167" s="23"/>
      <c r="T167" s="15"/>
      <c r="U167" s="16"/>
      <c r="W167" t="str">
        <f>IF(G167-J167-SUM(K167:U167),G167-J167-SUM(K167:U167),"")</f>
        <v/>
      </c>
    </row>
    <row r="168" spans="1:23" x14ac:dyDescent="0.2">
      <c r="A168" s="7" t="str">
        <f t="shared" si="2"/>
        <v>acspolymersau/1c00030_si_ss2</v>
      </c>
      <c r="B168" s="7" t="s">
        <v>128</v>
      </c>
      <c r="C168" s="17" t="s">
        <v>157</v>
      </c>
      <c r="D168" s="7" t="s">
        <v>134</v>
      </c>
      <c r="E168" s="7" t="s">
        <v>159</v>
      </c>
      <c r="F168" s="7" t="s">
        <v>40</v>
      </c>
      <c r="G168" s="7">
        <v>1</v>
      </c>
      <c r="H168" s="7" t="str" cm="1">
        <f t="array" ref="H168">INDEX(_xlfn.TEXTSPLIT(INDEX(_xlfn.TEXTSPLIT(C168, "/"), 5), "."), 1)</f>
        <v>acspolymersau</v>
      </c>
      <c r="I168" s="7" t="str" cm="1">
        <f t="array" ref="I168">IF(E168="Abstract","a",LOWER(_xlfn.CONCAT(LEFT(INDEX(_xlfn.TEXTSPLIT(E168," "),1),1),INDEX(_xlfn.TEXTSPLIT(E168," "),2))))</f>
        <v>ss2</v>
      </c>
      <c r="J168" s="7">
        <v>1</v>
      </c>
      <c r="K168" s="9"/>
      <c r="L168" s="10"/>
      <c r="M168" s="11"/>
      <c r="N168" s="12"/>
      <c r="O168" s="13"/>
      <c r="P168" s="14"/>
      <c r="Q168" s="21"/>
      <c r="R168" s="22"/>
      <c r="S168" s="23"/>
      <c r="T168" s="15"/>
      <c r="U168" s="16"/>
      <c r="W168" t="str">
        <f>IF(G168-J168-SUM(K168:U168),G168-J168-SUM(K168:U168),"")</f>
        <v/>
      </c>
    </row>
    <row r="169" spans="1:23" x14ac:dyDescent="0.2">
      <c r="A169" s="7" t="str">
        <f t="shared" si="2"/>
        <v>acspolymersau/1c00030_si_ss3</v>
      </c>
      <c r="B169" s="7" t="s">
        <v>128</v>
      </c>
      <c r="C169" s="17" t="s">
        <v>157</v>
      </c>
      <c r="D169" s="7" t="s">
        <v>134</v>
      </c>
      <c r="E169" s="7" t="s">
        <v>160</v>
      </c>
      <c r="F169" s="7" t="s">
        <v>40</v>
      </c>
      <c r="G169" s="7">
        <v>1</v>
      </c>
      <c r="H169" s="7" t="str" cm="1">
        <f t="array" ref="H169">INDEX(_xlfn.TEXTSPLIT(INDEX(_xlfn.TEXTSPLIT(C169, "/"), 5), "."), 1)</f>
        <v>acspolymersau</v>
      </c>
      <c r="I169" s="7" t="str" cm="1">
        <f t="array" ref="I169">IF(E169="Abstract","a",LOWER(_xlfn.CONCAT(LEFT(INDEX(_xlfn.TEXTSPLIT(E169," "),1),1),INDEX(_xlfn.TEXTSPLIT(E169," "),2))))</f>
        <v>ss3</v>
      </c>
      <c r="J169" s="7">
        <v>1</v>
      </c>
      <c r="K169" s="9"/>
      <c r="L169" s="10"/>
      <c r="M169" s="11"/>
      <c r="N169" s="12"/>
      <c r="O169" s="13"/>
      <c r="P169" s="14"/>
      <c r="Q169" s="21"/>
      <c r="R169" s="22"/>
      <c r="S169" s="23"/>
      <c r="T169" s="15"/>
      <c r="U169" s="16"/>
      <c r="W169" t="str">
        <f>IF(G169-J169-SUM(K169:U169),G169-J169-SUM(K169:U169),"")</f>
        <v/>
      </c>
    </row>
    <row r="170" spans="1:23" x14ac:dyDescent="0.2">
      <c r="A170" s="7" t="str">
        <f t="shared" si="2"/>
        <v>acspolymersau/1c00032_f1</v>
      </c>
      <c r="B170" s="7" t="s">
        <v>128</v>
      </c>
      <c r="C170" s="17" t="s">
        <v>161</v>
      </c>
      <c r="D170" s="7" t="s">
        <v>22</v>
      </c>
      <c r="E170" s="7" t="s">
        <v>23</v>
      </c>
      <c r="F170" s="7" t="s">
        <v>33</v>
      </c>
      <c r="G170" s="7">
        <v>1</v>
      </c>
      <c r="H170" s="7" t="str" cm="1">
        <f t="array" ref="H170">INDEX(_xlfn.TEXTSPLIT(INDEX(_xlfn.TEXTSPLIT(C170, "/"), 5), "."), 1)</f>
        <v>acspolymersau</v>
      </c>
      <c r="I170" s="7" t="str" cm="1">
        <f t="array" ref="I170">IF(E170="Abstract","a",LOWER(_xlfn.CONCAT(LEFT(INDEX(_xlfn.TEXTSPLIT(E170," "),1),1),INDEX(_xlfn.TEXTSPLIT(E170," "),2))))</f>
        <v>f1</v>
      </c>
      <c r="J170" s="7">
        <v>1</v>
      </c>
      <c r="K170" s="9"/>
      <c r="L170" s="10"/>
      <c r="M170" s="11"/>
      <c r="N170" s="12"/>
      <c r="O170" s="13"/>
      <c r="P170" s="14"/>
      <c r="Q170" s="21"/>
      <c r="R170" s="22"/>
      <c r="S170" s="23"/>
      <c r="T170" s="15"/>
      <c r="U170" s="16"/>
      <c r="W170" t="str">
        <f>IF(G170-J170-SUM(K170:U170),G170-J170-SUM(K170:U170),"")</f>
        <v/>
      </c>
    </row>
    <row r="171" spans="1:23" x14ac:dyDescent="0.2">
      <c r="A171" s="7" t="str">
        <f t="shared" si="2"/>
        <v>acspolymersau/1c00032_f2</v>
      </c>
      <c r="B171" s="7" t="s">
        <v>128</v>
      </c>
      <c r="C171" s="17" t="s">
        <v>161</v>
      </c>
      <c r="D171" s="7" t="s">
        <v>22</v>
      </c>
      <c r="E171" s="7" t="s">
        <v>29</v>
      </c>
      <c r="F171" s="7" t="s">
        <v>33</v>
      </c>
      <c r="G171" s="7">
        <v>2</v>
      </c>
      <c r="H171" s="7" t="str" cm="1">
        <f t="array" ref="H171">INDEX(_xlfn.TEXTSPLIT(INDEX(_xlfn.TEXTSPLIT(C171, "/"), 5), "."), 1)</f>
        <v>acspolymersau</v>
      </c>
      <c r="I171" s="7" t="str" cm="1">
        <f t="array" ref="I171">IF(E171="Abstract","a",LOWER(_xlfn.CONCAT(LEFT(INDEX(_xlfn.TEXTSPLIT(E171," "),1),1),INDEX(_xlfn.TEXTSPLIT(E171," "),2))))</f>
        <v>f2</v>
      </c>
      <c r="J171" s="7">
        <v>2</v>
      </c>
      <c r="K171" s="9"/>
      <c r="L171" s="10"/>
      <c r="M171" s="11"/>
      <c r="N171" s="12"/>
      <c r="O171" s="13"/>
      <c r="P171" s="14"/>
      <c r="Q171" s="21"/>
      <c r="R171" s="22"/>
      <c r="S171" s="23"/>
      <c r="T171" s="15"/>
      <c r="U171" s="16"/>
      <c r="W171" t="str">
        <f>IF(G171-J171-SUM(K171:U171),G171-J171-SUM(K171:U171),"")</f>
        <v/>
      </c>
    </row>
    <row r="172" spans="1:23" x14ac:dyDescent="0.2">
      <c r="A172" s="7" t="str">
        <f t="shared" si="2"/>
        <v>acspolymersau/1c00032_f5</v>
      </c>
      <c r="B172" s="7" t="s">
        <v>128</v>
      </c>
      <c r="C172" s="17" t="s">
        <v>161</v>
      </c>
      <c r="D172" s="7" t="s">
        <v>22</v>
      </c>
      <c r="E172" s="7" t="s">
        <v>80</v>
      </c>
      <c r="F172" s="7" t="s">
        <v>33</v>
      </c>
      <c r="G172" s="7">
        <v>2</v>
      </c>
      <c r="H172" s="7" t="str" cm="1">
        <f t="array" ref="H172">INDEX(_xlfn.TEXTSPLIT(INDEX(_xlfn.TEXTSPLIT(C172, "/"), 5), "."), 1)</f>
        <v>acspolymersau</v>
      </c>
      <c r="I172" s="7" t="str" cm="1">
        <f t="array" ref="I172">IF(E172="Abstract","a",LOWER(_xlfn.CONCAT(LEFT(INDEX(_xlfn.TEXTSPLIT(E172," "),1),1),INDEX(_xlfn.TEXTSPLIT(E172," "),2))))</f>
        <v>f5</v>
      </c>
      <c r="J172" s="7">
        <v>2</v>
      </c>
      <c r="K172" s="9"/>
      <c r="L172" s="10"/>
      <c r="M172" s="11"/>
      <c r="N172" s="12"/>
      <c r="O172" s="13"/>
      <c r="P172" s="14"/>
      <c r="Q172" s="21"/>
      <c r="R172" s="22"/>
      <c r="S172" s="23"/>
      <c r="T172" s="15"/>
      <c r="U172" s="16"/>
      <c r="W172" t="str">
        <f>IF(G172-J172-SUM(K172:U172),G172-J172-SUM(K172:U172),"")</f>
        <v/>
      </c>
    </row>
    <row r="173" spans="1:23" x14ac:dyDescent="0.2">
      <c r="A173" s="7" t="str">
        <f t="shared" si="2"/>
        <v>acspolymersau/1c00034_f1</v>
      </c>
      <c r="B173" s="7" t="s">
        <v>128</v>
      </c>
      <c r="C173" s="17" t="s">
        <v>162</v>
      </c>
      <c r="D173" s="7" t="s">
        <v>22</v>
      </c>
      <c r="E173" s="7" t="s">
        <v>23</v>
      </c>
      <c r="F173" s="7" t="s">
        <v>40</v>
      </c>
      <c r="G173" s="7">
        <v>2</v>
      </c>
      <c r="H173" s="7" t="str" cm="1">
        <f t="array" ref="H173">INDEX(_xlfn.TEXTSPLIT(INDEX(_xlfn.TEXTSPLIT(C173, "/"), 5), "."), 1)</f>
        <v>acspolymersau</v>
      </c>
      <c r="I173" s="7" t="str" cm="1">
        <f t="array" ref="I173">IF(E173="Abstract","a",LOWER(_xlfn.CONCAT(LEFT(INDEX(_xlfn.TEXTSPLIT(E173," "),1),1),INDEX(_xlfn.TEXTSPLIT(E173," "),2))))</f>
        <v>f1</v>
      </c>
      <c r="J173" s="7"/>
      <c r="K173" s="9"/>
      <c r="L173" s="10"/>
      <c r="M173" s="11"/>
      <c r="N173" s="12"/>
      <c r="O173" s="13">
        <v>2</v>
      </c>
      <c r="P173" s="14"/>
      <c r="Q173" s="21"/>
      <c r="R173" s="22"/>
      <c r="S173" s="23"/>
      <c r="T173" s="15"/>
      <c r="U173" s="16"/>
      <c r="W173" t="str">
        <f>IF(G173-J173-SUM(K173:U173),G173-J173-SUM(K173:U173),"")</f>
        <v/>
      </c>
    </row>
    <row r="174" spans="1:23" x14ac:dyDescent="0.2">
      <c r="A174" s="7" t="str">
        <f t="shared" si="2"/>
        <v>acspolymersau/1c00036_si_ps10</v>
      </c>
      <c r="B174" s="7" t="s">
        <v>128</v>
      </c>
      <c r="C174" s="17" t="s">
        <v>163</v>
      </c>
      <c r="D174" s="7" t="s">
        <v>134</v>
      </c>
      <c r="E174" s="7" t="s">
        <v>164</v>
      </c>
      <c r="F174" s="7" t="s">
        <v>40</v>
      </c>
      <c r="G174" s="7">
        <v>1</v>
      </c>
      <c r="H174" s="7" t="str" cm="1">
        <f t="array" ref="H174">INDEX(_xlfn.TEXTSPLIT(INDEX(_xlfn.TEXTSPLIT(C174, "/"), 5), "."), 1)</f>
        <v>acspolymersau</v>
      </c>
      <c r="I174" s="7" t="str" cm="1">
        <f t="array" ref="I174">IF(E174="Abstract","a",LOWER(_xlfn.CONCAT(LEFT(INDEX(_xlfn.TEXTSPLIT(E174," "),1),1),INDEX(_xlfn.TEXTSPLIT(E174," "),2))))</f>
        <v>ps10</v>
      </c>
      <c r="J174" s="7"/>
      <c r="K174" s="9"/>
      <c r="L174" s="10"/>
      <c r="M174" s="11">
        <v>1</v>
      </c>
      <c r="N174" s="12"/>
      <c r="O174" s="13"/>
      <c r="P174" s="14"/>
      <c r="Q174" s="21"/>
      <c r="R174" s="22"/>
      <c r="S174" s="23"/>
      <c r="T174" s="15"/>
      <c r="U174" s="16"/>
      <c r="W174" t="str">
        <f>IF(G174-J174-SUM(K174:U174),G174-J174-SUM(K174:U174),"")</f>
        <v/>
      </c>
    </row>
    <row r="175" spans="1:23" x14ac:dyDescent="0.2">
      <c r="A175" s="7" t="str">
        <f t="shared" si="2"/>
        <v>acspolymersau/1c00036_si_ps8</v>
      </c>
      <c r="B175" s="7" t="s">
        <v>128</v>
      </c>
      <c r="C175" s="17" t="s">
        <v>163</v>
      </c>
      <c r="D175" s="7" t="s">
        <v>134</v>
      </c>
      <c r="E175" s="7" t="s">
        <v>165</v>
      </c>
      <c r="F175" s="7" t="s">
        <v>40</v>
      </c>
      <c r="G175" s="7">
        <v>1</v>
      </c>
      <c r="H175" s="7" t="str" cm="1">
        <f t="array" ref="H175">INDEX(_xlfn.TEXTSPLIT(INDEX(_xlfn.TEXTSPLIT(C175, "/"), 5), "."), 1)</f>
        <v>acspolymersau</v>
      </c>
      <c r="I175" s="7" t="str" cm="1">
        <f t="array" ref="I175">IF(E175="Abstract","a",LOWER(_xlfn.CONCAT(LEFT(INDEX(_xlfn.TEXTSPLIT(E175," "),1),1),INDEX(_xlfn.TEXTSPLIT(E175," "),2))))</f>
        <v>ps8</v>
      </c>
      <c r="J175" s="7"/>
      <c r="K175" s="9"/>
      <c r="L175" s="10"/>
      <c r="M175" s="11">
        <v>1</v>
      </c>
      <c r="N175" s="12"/>
      <c r="O175" s="13"/>
      <c r="P175" s="14"/>
      <c r="Q175" s="21"/>
      <c r="R175" s="22"/>
      <c r="S175" s="23"/>
      <c r="T175" s="15"/>
      <c r="U175" s="16"/>
      <c r="W175" t="str">
        <f>IF(G175-J175-SUM(K175:U175),G175-J175-SUM(K175:U175),"")</f>
        <v/>
      </c>
    </row>
    <row r="176" spans="1:23" x14ac:dyDescent="0.2">
      <c r="A176" s="7" t="str">
        <f t="shared" si="2"/>
        <v>acspolymersau/1c00036_si_ps9</v>
      </c>
      <c r="B176" s="7" t="s">
        <v>128</v>
      </c>
      <c r="C176" s="17" t="s">
        <v>163</v>
      </c>
      <c r="D176" s="7" t="s">
        <v>134</v>
      </c>
      <c r="E176" s="7" t="s">
        <v>166</v>
      </c>
      <c r="F176" s="7" t="s">
        <v>40</v>
      </c>
      <c r="G176" s="7">
        <v>2</v>
      </c>
      <c r="H176" s="7" t="str" cm="1">
        <f t="array" ref="H176">INDEX(_xlfn.TEXTSPLIT(INDEX(_xlfn.TEXTSPLIT(C176, "/"), 5), "."), 1)</f>
        <v>acspolymersau</v>
      </c>
      <c r="I176" s="7" t="str" cm="1">
        <f t="array" ref="I176">IF(E176="Abstract","a",LOWER(_xlfn.CONCAT(LEFT(INDEX(_xlfn.TEXTSPLIT(E176," "),1),1),INDEX(_xlfn.TEXTSPLIT(E176," "),2))))</f>
        <v>ps9</v>
      </c>
      <c r="J176" s="7">
        <v>1</v>
      </c>
      <c r="K176" s="9"/>
      <c r="L176" s="10"/>
      <c r="M176" s="11">
        <v>1</v>
      </c>
      <c r="N176" s="12"/>
      <c r="O176" s="13"/>
      <c r="P176" s="14"/>
      <c r="Q176" s="21"/>
      <c r="R176" s="22"/>
      <c r="S176" s="23"/>
      <c r="T176" s="15"/>
      <c r="U176" s="16"/>
      <c r="W176" t="str">
        <f>IF(G176-J176-SUM(K176:U176),G176-J176-SUM(K176:U176),"")</f>
        <v/>
      </c>
    </row>
    <row r="177" spans="1:23" x14ac:dyDescent="0.2">
      <c r="A177" s="7" t="str">
        <f t="shared" si="2"/>
        <v>acspolymersau/1c00037_f1</v>
      </c>
      <c r="B177" s="7" t="s">
        <v>128</v>
      </c>
      <c r="C177" s="17" t="s">
        <v>167</v>
      </c>
      <c r="D177" s="7" t="s">
        <v>22</v>
      </c>
      <c r="E177" s="7" t="s">
        <v>23</v>
      </c>
      <c r="F177" s="7" t="s">
        <v>40</v>
      </c>
      <c r="G177" s="7">
        <v>1</v>
      </c>
      <c r="H177" s="7" t="str" cm="1">
        <f t="array" ref="H177">INDEX(_xlfn.TEXTSPLIT(INDEX(_xlfn.TEXTSPLIT(C177, "/"), 5), "."), 1)</f>
        <v>acspolymersau</v>
      </c>
      <c r="I177" s="7" t="str" cm="1">
        <f t="array" ref="I177">IF(E177="Abstract","a",LOWER(_xlfn.CONCAT(LEFT(INDEX(_xlfn.TEXTSPLIT(E177," "),1),1),INDEX(_xlfn.TEXTSPLIT(E177," "),2))))</f>
        <v>f1</v>
      </c>
      <c r="J177" s="7"/>
      <c r="K177" s="9"/>
      <c r="L177" s="10">
        <v>1</v>
      </c>
      <c r="M177" s="11"/>
      <c r="N177" s="12"/>
      <c r="O177" s="13"/>
      <c r="P177" s="14"/>
      <c r="Q177" s="21"/>
      <c r="R177" s="22"/>
      <c r="S177" s="23"/>
      <c r="T177" s="15"/>
      <c r="U177" s="16"/>
      <c r="W177" t="str">
        <f>IF(G177-J177-SUM(K177:U177),G177-J177-SUM(K177:U177),"")</f>
        <v/>
      </c>
    </row>
    <row r="178" spans="1:23" x14ac:dyDescent="0.2">
      <c r="A178" s="7" t="str">
        <f t="shared" si="2"/>
        <v>acspolymersau/1c00041_f1</v>
      </c>
      <c r="B178" s="7" t="s">
        <v>128</v>
      </c>
      <c r="C178" s="17" t="s">
        <v>168</v>
      </c>
      <c r="D178" s="7" t="s">
        <v>22</v>
      </c>
      <c r="E178" s="7" t="s">
        <v>23</v>
      </c>
      <c r="F178" s="7" t="s">
        <v>40</v>
      </c>
      <c r="G178" s="7">
        <v>3</v>
      </c>
      <c r="H178" s="7" t="str" cm="1">
        <f t="array" ref="H178">INDEX(_xlfn.TEXTSPLIT(INDEX(_xlfn.TEXTSPLIT(C178, "/"), 5), "."), 1)</f>
        <v>acspolymersau</v>
      </c>
      <c r="I178" s="7" t="str" cm="1">
        <f t="array" ref="I178">IF(E178="Abstract","a",LOWER(_xlfn.CONCAT(LEFT(INDEX(_xlfn.TEXTSPLIT(E178," "),1),1),INDEX(_xlfn.TEXTSPLIT(E178," "),2))))</f>
        <v>f1</v>
      </c>
      <c r="J178" s="7">
        <v>3</v>
      </c>
      <c r="K178" s="9"/>
      <c r="L178" s="10"/>
      <c r="M178" s="11"/>
      <c r="N178" s="12"/>
      <c r="O178" s="13"/>
      <c r="P178" s="14"/>
      <c r="Q178" s="21"/>
      <c r="R178" s="22"/>
      <c r="S178" s="23"/>
      <c r="T178" s="15"/>
      <c r="U178" s="16"/>
      <c r="W178" t="str">
        <f>IF(G178-J178-SUM(K178:U178),G178-J178-SUM(K178:U178),"")</f>
        <v/>
      </c>
    </row>
    <row r="179" spans="1:23" x14ac:dyDescent="0.2">
      <c r="A179" s="7" t="str">
        <f t="shared" si="2"/>
        <v>acspolymersau/1c00042_s1</v>
      </c>
      <c r="B179" s="7" t="s">
        <v>128</v>
      </c>
      <c r="C179" s="17" t="s">
        <v>169</v>
      </c>
      <c r="D179" s="7" t="s">
        <v>22</v>
      </c>
      <c r="E179" s="7" t="s">
        <v>31</v>
      </c>
      <c r="F179" s="7" t="s">
        <v>40</v>
      </c>
      <c r="G179" s="7">
        <v>4</v>
      </c>
      <c r="H179" s="7" t="str" cm="1">
        <f t="array" ref="H179">INDEX(_xlfn.TEXTSPLIT(INDEX(_xlfn.TEXTSPLIT(C179, "/"), 5), "."), 1)</f>
        <v>acspolymersau</v>
      </c>
      <c r="I179" s="7" t="str" cm="1">
        <f t="array" ref="I179">IF(E179="Abstract","a",LOWER(_xlfn.CONCAT(LEFT(INDEX(_xlfn.TEXTSPLIT(E179," "),1),1),INDEX(_xlfn.TEXTSPLIT(E179," "),2))))</f>
        <v>s1</v>
      </c>
      <c r="J179" s="7"/>
      <c r="K179" s="9"/>
      <c r="L179" s="10"/>
      <c r="M179" s="11"/>
      <c r="N179" s="12">
        <v>4</v>
      </c>
      <c r="O179" s="13"/>
      <c r="P179" s="14"/>
      <c r="Q179" s="21"/>
      <c r="R179" s="22"/>
      <c r="S179" s="23"/>
      <c r="T179" s="15"/>
      <c r="U179" s="16"/>
      <c r="W179" t="str">
        <f>IF(G179-J179-SUM(K179:U179),G179-J179-SUM(K179:U179),"")</f>
        <v/>
      </c>
    </row>
    <row r="180" spans="1:23" x14ac:dyDescent="0.2">
      <c r="A180" s="7" t="str">
        <f t="shared" si="2"/>
        <v>acspolymersau/1c00044_a</v>
      </c>
      <c r="B180" s="7" t="s">
        <v>128</v>
      </c>
      <c r="C180" s="17" t="s">
        <v>170</v>
      </c>
      <c r="D180" s="7" t="s">
        <v>22</v>
      </c>
      <c r="E180" s="7" t="s">
        <v>47</v>
      </c>
      <c r="F180" s="7" t="s">
        <v>40</v>
      </c>
      <c r="G180" s="7">
        <v>1</v>
      </c>
      <c r="H180" s="7" t="str" cm="1">
        <f t="array" ref="H180">INDEX(_xlfn.TEXTSPLIT(INDEX(_xlfn.TEXTSPLIT(C180, "/"), 5), "."), 1)</f>
        <v>acspolymersau</v>
      </c>
      <c r="I180" s="7" t="str" cm="1">
        <f t="array" ref="I180">IF(E180="Abstract","a",LOWER(_xlfn.CONCAT(LEFT(INDEX(_xlfn.TEXTSPLIT(E180," "),1),1),INDEX(_xlfn.TEXTSPLIT(E180," "),2))))</f>
        <v>a</v>
      </c>
      <c r="J180" s="7"/>
      <c r="K180" s="9"/>
      <c r="L180" s="10"/>
      <c r="M180" s="11">
        <v>1</v>
      </c>
      <c r="N180" s="12"/>
      <c r="O180" s="13"/>
      <c r="P180" s="14"/>
      <c r="Q180" s="21"/>
      <c r="R180" s="22"/>
      <c r="S180" s="23"/>
      <c r="T180" s="15"/>
      <c r="U180" s="16"/>
      <c r="W180" t="str">
        <f>IF(G180-J180-SUM(K180:U180),G180-J180-SUM(K180:U180),"")</f>
        <v/>
      </c>
    </row>
    <row r="181" spans="1:23" x14ac:dyDescent="0.2">
      <c r="A181" s="7" t="str">
        <f t="shared" si="2"/>
        <v>acspolymersau/1c00044_f2</v>
      </c>
      <c r="B181" s="7" t="s">
        <v>128</v>
      </c>
      <c r="C181" s="17" t="s">
        <v>170</v>
      </c>
      <c r="D181" s="7" t="s">
        <v>22</v>
      </c>
      <c r="E181" s="7" t="s">
        <v>29</v>
      </c>
      <c r="F181" s="7" t="s">
        <v>40</v>
      </c>
      <c r="G181" s="7">
        <v>3</v>
      </c>
      <c r="H181" s="7" t="str" cm="1">
        <f t="array" ref="H181">INDEX(_xlfn.TEXTSPLIT(INDEX(_xlfn.TEXTSPLIT(C181, "/"), 5), "."), 1)</f>
        <v>acspolymersau</v>
      </c>
      <c r="I181" s="7" t="str" cm="1">
        <f t="array" ref="I181">IF(E181="Abstract","a",LOWER(_xlfn.CONCAT(LEFT(INDEX(_xlfn.TEXTSPLIT(E181," "),1),1),INDEX(_xlfn.TEXTSPLIT(E181," "),2))))</f>
        <v>f2</v>
      </c>
      <c r="J181" s="7"/>
      <c r="K181" s="9">
        <v>3</v>
      </c>
      <c r="L181" s="10"/>
      <c r="M181" s="11"/>
      <c r="N181" s="12"/>
      <c r="O181" s="13"/>
      <c r="P181" s="14"/>
      <c r="Q181" s="21"/>
      <c r="R181" s="22"/>
      <c r="S181" s="23"/>
      <c r="T181" s="15"/>
      <c r="U181" s="16"/>
      <c r="W181" t="str">
        <f>IF(G181-J181-SUM(K181:U181),G181-J181-SUM(K181:U181),"")</f>
        <v/>
      </c>
    </row>
    <row r="182" spans="1:23" x14ac:dyDescent="0.2">
      <c r="A182" s="7" t="str">
        <f t="shared" si="2"/>
        <v>acspolymersau/1c00044_s1</v>
      </c>
      <c r="B182" s="7" t="s">
        <v>128</v>
      </c>
      <c r="C182" s="17" t="s">
        <v>170</v>
      </c>
      <c r="D182" s="7" t="s">
        <v>22</v>
      </c>
      <c r="E182" s="7" t="s">
        <v>31</v>
      </c>
      <c r="F182" s="7" t="s">
        <v>40</v>
      </c>
      <c r="G182" s="7">
        <v>6</v>
      </c>
      <c r="H182" s="7" t="str" cm="1">
        <f t="array" ref="H182">INDEX(_xlfn.TEXTSPLIT(INDEX(_xlfn.TEXTSPLIT(C182, "/"), 5), "."), 1)</f>
        <v>acspolymersau</v>
      </c>
      <c r="I182" s="7" t="str" cm="1">
        <f t="array" ref="I182">IF(E182="Abstract","a",LOWER(_xlfn.CONCAT(LEFT(INDEX(_xlfn.TEXTSPLIT(E182," "),1),1),INDEX(_xlfn.TEXTSPLIT(E182," "),2))))</f>
        <v>s1</v>
      </c>
      <c r="J182" s="7">
        <v>5</v>
      </c>
      <c r="K182" s="9"/>
      <c r="L182" s="10"/>
      <c r="M182" s="11">
        <v>1</v>
      </c>
      <c r="N182" s="12"/>
      <c r="O182" s="13"/>
      <c r="P182" s="14"/>
      <c r="Q182" s="21"/>
      <c r="R182" s="22"/>
      <c r="S182" s="23"/>
      <c r="T182" s="15"/>
      <c r="U182" s="16"/>
      <c r="W182" t="str">
        <f>IF(G182-J182-SUM(K182:U182),G182-J182-SUM(K182:U182),"")</f>
        <v/>
      </c>
    </row>
    <row r="183" spans="1:23" x14ac:dyDescent="0.2">
      <c r="A183" s="7" t="str">
        <f t="shared" si="2"/>
        <v>acspolymersau/1c00044_s3</v>
      </c>
      <c r="B183" s="7" t="s">
        <v>128</v>
      </c>
      <c r="C183" s="17" t="s">
        <v>170</v>
      </c>
      <c r="D183" s="7" t="s">
        <v>22</v>
      </c>
      <c r="E183" s="7" t="s">
        <v>56</v>
      </c>
      <c r="F183" s="7" t="s">
        <v>40</v>
      </c>
      <c r="G183" s="7">
        <v>1</v>
      </c>
      <c r="H183" s="7" t="str" cm="1">
        <f t="array" ref="H183">INDEX(_xlfn.TEXTSPLIT(INDEX(_xlfn.TEXTSPLIT(C183, "/"), 5), "."), 1)</f>
        <v>acspolymersau</v>
      </c>
      <c r="I183" s="7" t="str" cm="1">
        <f t="array" ref="I183">IF(E183="Abstract","a",LOWER(_xlfn.CONCAT(LEFT(INDEX(_xlfn.TEXTSPLIT(E183," "),1),1),INDEX(_xlfn.TEXTSPLIT(E183," "),2))))</f>
        <v>s3</v>
      </c>
      <c r="J183" s="7"/>
      <c r="K183" s="9">
        <v>1</v>
      </c>
      <c r="L183" s="10"/>
      <c r="M183" s="11"/>
      <c r="N183" s="12"/>
      <c r="O183" s="13"/>
      <c r="P183" s="14"/>
      <c r="Q183" s="21"/>
      <c r="R183" s="22"/>
      <c r="S183" s="23"/>
      <c r="T183" s="15"/>
      <c r="U183" s="16"/>
      <c r="W183" t="str">
        <f>IF(G183-J183-SUM(K183:U183),G183-J183-SUM(K183:U183),"")</f>
        <v/>
      </c>
    </row>
    <row r="184" spans="1:23" x14ac:dyDescent="0.2">
      <c r="A184" s="7" t="str">
        <f t="shared" si="2"/>
        <v>acspolymersau/1c00049_f1</v>
      </c>
      <c r="B184" s="7" t="s">
        <v>128</v>
      </c>
      <c r="C184" s="17" t="s">
        <v>171</v>
      </c>
      <c r="D184" s="7" t="s">
        <v>22</v>
      </c>
      <c r="E184" s="7" t="s">
        <v>23</v>
      </c>
      <c r="F184" s="7" t="s">
        <v>40</v>
      </c>
      <c r="G184" s="7">
        <v>2</v>
      </c>
      <c r="H184" s="7" t="str" cm="1">
        <f t="array" ref="H184">INDEX(_xlfn.TEXTSPLIT(INDEX(_xlfn.TEXTSPLIT(C184, "/"), 5), "."), 1)</f>
        <v>acspolymersau</v>
      </c>
      <c r="I184" s="7" t="str" cm="1">
        <f t="array" ref="I184">IF(E184="Abstract","a",LOWER(_xlfn.CONCAT(LEFT(INDEX(_xlfn.TEXTSPLIT(E184," "),1),1),INDEX(_xlfn.TEXTSPLIT(E184," "),2))))</f>
        <v>f1</v>
      </c>
      <c r="J184" s="7"/>
      <c r="K184" s="9"/>
      <c r="L184" s="10"/>
      <c r="M184" s="11"/>
      <c r="N184" s="12"/>
      <c r="O184" s="13"/>
      <c r="P184" s="14"/>
      <c r="Q184" s="21"/>
      <c r="R184" s="22">
        <v>2</v>
      </c>
      <c r="S184" s="23"/>
      <c r="T184" s="15"/>
      <c r="U184" s="16"/>
      <c r="W184" t="str">
        <f>IF(G184-J184-SUM(K184:U184),G184-J184-SUM(K184:U184),"")</f>
        <v/>
      </c>
    </row>
    <row r="185" spans="1:23" x14ac:dyDescent="0.2">
      <c r="A185" s="7" t="str">
        <f t="shared" si="2"/>
        <v>acspolymersau/1c00052_s1</v>
      </c>
      <c r="B185" s="7" t="s">
        <v>128</v>
      </c>
      <c r="C185" s="17" t="s">
        <v>172</v>
      </c>
      <c r="D185" s="7" t="s">
        <v>22</v>
      </c>
      <c r="E185" s="7" t="s">
        <v>31</v>
      </c>
      <c r="F185" s="7" t="s">
        <v>40</v>
      </c>
      <c r="G185" s="7">
        <v>1</v>
      </c>
      <c r="H185" s="7" t="str" cm="1">
        <f t="array" ref="H185">INDEX(_xlfn.TEXTSPLIT(INDEX(_xlfn.TEXTSPLIT(C185, "/"), 5), "."), 1)</f>
        <v>acspolymersau</v>
      </c>
      <c r="I185" s="7" t="str" cm="1">
        <f t="array" ref="I185">IF(E185="Abstract","a",LOWER(_xlfn.CONCAT(LEFT(INDEX(_xlfn.TEXTSPLIT(E185," "),1),1),INDEX(_xlfn.TEXTSPLIT(E185," "),2))))</f>
        <v>s1</v>
      </c>
      <c r="J185" s="7">
        <v>1</v>
      </c>
      <c r="K185" s="9"/>
      <c r="L185" s="10"/>
      <c r="M185" s="11"/>
      <c r="N185" s="12"/>
      <c r="O185" s="13"/>
      <c r="P185" s="14"/>
      <c r="Q185" s="21"/>
      <c r="R185" s="22"/>
      <c r="S185" s="23"/>
      <c r="T185" s="15"/>
      <c r="U185" s="16"/>
      <c r="W185" t="str">
        <f>IF(G185-J185-SUM(K185:U185),G185-J185-SUM(K185:U185),"")</f>
        <v/>
      </c>
    </row>
    <row r="186" spans="1:23" x14ac:dyDescent="0.2">
      <c r="A186" s="7" t="str">
        <f t="shared" si="2"/>
        <v>acspolymersau/1c00053_s1</v>
      </c>
      <c r="B186" s="7" t="s">
        <v>128</v>
      </c>
      <c r="C186" s="17" t="s">
        <v>173</v>
      </c>
      <c r="D186" s="7" t="s">
        <v>22</v>
      </c>
      <c r="E186" s="7" t="s">
        <v>31</v>
      </c>
      <c r="F186" s="7" t="s">
        <v>33</v>
      </c>
      <c r="G186" s="7">
        <v>1</v>
      </c>
      <c r="H186" s="7" t="str" cm="1">
        <f t="array" ref="H186">INDEX(_xlfn.TEXTSPLIT(INDEX(_xlfn.TEXTSPLIT(C186, "/"), 5), "."), 1)</f>
        <v>acspolymersau</v>
      </c>
      <c r="I186" s="7" t="str" cm="1">
        <f t="array" ref="I186">IF(E186="Abstract","a",LOWER(_xlfn.CONCAT(LEFT(INDEX(_xlfn.TEXTSPLIT(E186," "),1),1),INDEX(_xlfn.TEXTSPLIT(E186," "),2))))</f>
        <v>s1</v>
      </c>
      <c r="J186" s="7">
        <v>1</v>
      </c>
      <c r="K186" s="9"/>
      <c r="L186" s="10"/>
      <c r="M186" s="11"/>
      <c r="N186" s="12"/>
      <c r="O186" s="13"/>
      <c r="P186" s="14"/>
      <c r="Q186" s="21"/>
      <c r="R186" s="22"/>
      <c r="S186" s="23"/>
      <c r="T186" s="15"/>
      <c r="U186" s="16"/>
      <c r="W186" t="str">
        <f>IF(G186-J186-SUM(K186:U186),G186-J186-SUM(K186:U186),"")</f>
        <v/>
      </c>
    </row>
    <row r="187" spans="1:23" s="6" customFormat="1" x14ac:dyDescent="0.2">
      <c r="A187" s="8" t="str">
        <f t="shared" si="2"/>
        <v>acspolymersau/1c00053_s2</v>
      </c>
      <c r="B187" s="8" t="s">
        <v>128</v>
      </c>
      <c r="C187" s="20" t="s">
        <v>173</v>
      </c>
      <c r="D187" s="8" t="s">
        <v>22</v>
      </c>
      <c r="E187" s="8" t="s">
        <v>55</v>
      </c>
      <c r="F187" s="8" t="s">
        <v>33</v>
      </c>
      <c r="G187" s="8">
        <v>2</v>
      </c>
      <c r="H187" s="8" t="str" cm="1">
        <f t="array" ref="H187">INDEX(_xlfn.TEXTSPLIT(INDEX(_xlfn.TEXTSPLIT(C187, "/"), 5), "."), 1)</f>
        <v>acspolymersau</v>
      </c>
      <c r="I187" s="8" t="str" cm="1">
        <f t="array" ref="I187">IF(E187="Abstract","a",LOWER(_xlfn.CONCAT(LEFT(INDEX(_xlfn.TEXTSPLIT(E187," "),1),1),INDEX(_xlfn.TEXTSPLIT(E187," "),2))))</f>
        <v>s2</v>
      </c>
      <c r="J187" s="8"/>
      <c r="K187" s="9"/>
      <c r="L187" s="10"/>
      <c r="M187" s="11"/>
      <c r="N187" s="12"/>
      <c r="O187" s="13"/>
      <c r="P187" s="14"/>
      <c r="Q187" s="21"/>
      <c r="R187" s="22"/>
      <c r="S187" s="23"/>
      <c r="T187" s="15"/>
      <c r="U187" s="16">
        <v>2</v>
      </c>
      <c r="W187" s="6" t="str">
        <f>IF(G187-J187-SUM(K187:U187),G187-J187-SUM(K187:U187),"")</f>
        <v/>
      </c>
    </row>
    <row r="188" spans="1:23" x14ac:dyDescent="0.2">
      <c r="A188" s="7" t="str">
        <f t="shared" si="2"/>
        <v>acspolymersau/1c00053_s3</v>
      </c>
      <c r="B188" s="7" t="s">
        <v>128</v>
      </c>
      <c r="C188" s="17" t="s">
        <v>173</v>
      </c>
      <c r="D188" s="7" t="s">
        <v>22</v>
      </c>
      <c r="E188" s="7" t="s">
        <v>56</v>
      </c>
      <c r="F188" s="7" t="s">
        <v>33</v>
      </c>
      <c r="G188" s="7">
        <v>1</v>
      </c>
      <c r="H188" s="7" t="str" cm="1">
        <f t="array" ref="H188">INDEX(_xlfn.TEXTSPLIT(INDEX(_xlfn.TEXTSPLIT(C188, "/"), 5), "."), 1)</f>
        <v>acspolymersau</v>
      </c>
      <c r="I188" s="7" t="str" cm="1">
        <f t="array" ref="I188">IF(E188="Abstract","a",LOWER(_xlfn.CONCAT(LEFT(INDEX(_xlfn.TEXTSPLIT(E188," "),1),1),INDEX(_xlfn.TEXTSPLIT(E188," "),2))))</f>
        <v>s3</v>
      </c>
      <c r="J188" s="7">
        <v>1</v>
      </c>
      <c r="K188" s="9"/>
      <c r="L188" s="10"/>
      <c r="M188" s="11"/>
      <c r="N188" s="12"/>
      <c r="O188" s="13"/>
      <c r="P188" s="14"/>
      <c r="Q188" s="21"/>
      <c r="R188" s="22"/>
      <c r="S188" s="23"/>
      <c r="T188" s="15"/>
      <c r="U188" s="16"/>
      <c r="W188" t="str">
        <f>IF(G188-J188-SUM(K188:U188),G188-J188-SUM(K188:U188),"")</f>
        <v/>
      </c>
    </row>
    <row r="189" spans="1:23" s="6" customFormat="1" x14ac:dyDescent="0.2">
      <c r="A189" s="8" t="str">
        <f t="shared" si="2"/>
        <v>acspolymersau/1c00053_s4</v>
      </c>
      <c r="B189" s="8" t="s">
        <v>128</v>
      </c>
      <c r="C189" s="20" t="s">
        <v>173</v>
      </c>
      <c r="D189" s="8" t="s">
        <v>22</v>
      </c>
      <c r="E189" s="8" t="s">
        <v>174</v>
      </c>
      <c r="F189" s="8" t="s">
        <v>33</v>
      </c>
      <c r="G189" s="8">
        <v>3</v>
      </c>
      <c r="H189" s="8" t="str" cm="1">
        <f t="array" ref="H189">INDEX(_xlfn.TEXTSPLIT(INDEX(_xlfn.TEXTSPLIT(C189, "/"), 5), "."), 1)</f>
        <v>acspolymersau</v>
      </c>
      <c r="I189" s="8" t="str" cm="1">
        <f t="array" ref="I189">IF(E189="Abstract","a",LOWER(_xlfn.CONCAT(LEFT(INDEX(_xlfn.TEXTSPLIT(E189," "),1),1),INDEX(_xlfn.TEXTSPLIT(E189," "),2))))</f>
        <v>s4</v>
      </c>
      <c r="J189" s="8">
        <v>2</v>
      </c>
      <c r="K189" s="9"/>
      <c r="L189" s="10"/>
      <c r="M189" s="11"/>
      <c r="N189" s="12"/>
      <c r="O189" s="13"/>
      <c r="P189" s="14"/>
      <c r="Q189" s="21"/>
      <c r="R189" s="22"/>
      <c r="S189" s="23"/>
      <c r="T189" s="15"/>
      <c r="U189" s="16">
        <v>1</v>
      </c>
      <c r="W189" s="6" t="str">
        <f>IF(G189-J189-SUM(K189:U189),G189-J189-SUM(K189:U189),"")</f>
        <v/>
      </c>
    </row>
    <row r="190" spans="1:23" s="6" customFormat="1" x14ac:dyDescent="0.2">
      <c r="A190" s="8" t="str">
        <f t="shared" si="2"/>
        <v>acspolymersau/1c00053_s5</v>
      </c>
      <c r="B190" s="8" t="s">
        <v>128</v>
      </c>
      <c r="C190" s="20" t="s">
        <v>173</v>
      </c>
      <c r="D190" s="8" t="s">
        <v>22</v>
      </c>
      <c r="E190" s="8" t="s">
        <v>175</v>
      </c>
      <c r="F190" s="8" t="s">
        <v>33</v>
      </c>
      <c r="G190" s="8">
        <v>2</v>
      </c>
      <c r="H190" s="8" t="str" cm="1">
        <f t="array" ref="H190">INDEX(_xlfn.TEXTSPLIT(INDEX(_xlfn.TEXTSPLIT(C190, "/"), 5), "."), 1)</f>
        <v>acspolymersau</v>
      </c>
      <c r="I190" s="8" t="str" cm="1">
        <f t="array" ref="I190">IF(E190="Abstract","a",LOWER(_xlfn.CONCAT(LEFT(INDEX(_xlfn.TEXTSPLIT(E190," "),1),1),INDEX(_xlfn.TEXTSPLIT(E190," "),2))))</f>
        <v>s5</v>
      </c>
      <c r="J190" s="8">
        <v>1</v>
      </c>
      <c r="K190" s="9"/>
      <c r="L190" s="10"/>
      <c r="M190" s="11"/>
      <c r="N190" s="12"/>
      <c r="O190" s="13"/>
      <c r="P190" s="14"/>
      <c r="Q190" s="21"/>
      <c r="R190" s="22"/>
      <c r="S190" s="23"/>
      <c r="T190" s="15"/>
      <c r="U190" s="16">
        <v>1</v>
      </c>
      <c r="W190" s="6" t="str">
        <f>IF(G190-J190-SUM(K190:U190),G190-J190-SUM(K190:U190),"")</f>
        <v/>
      </c>
    </row>
    <row r="191" spans="1:23" x14ac:dyDescent="0.2">
      <c r="A191" s="7" t="str">
        <f t="shared" si="2"/>
        <v>acspolymersau/1c00054_s1</v>
      </c>
      <c r="B191" s="7" t="s">
        <v>128</v>
      </c>
      <c r="C191" s="17" t="s">
        <v>176</v>
      </c>
      <c r="D191" s="7" t="s">
        <v>22</v>
      </c>
      <c r="E191" s="7" t="s">
        <v>31</v>
      </c>
      <c r="F191" s="7" t="s">
        <v>40</v>
      </c>
      <c r="G191" s="7">
        <v>2</v>
      </c>
      <c r="H191" s="7" t="str" cm="1">
        <f t="array" ref="H191">INDEX(_xlfn.TEXTSPLIT(INDEX(_xlfn.TEXTSPLIT(C191, "/"), 5), "."), 1)</f>
        <v>acspolymersau</v>
      </c>
      <c r="I191" s="7" t="str" cm="1">
        <f t="array" ref="I191">IF(E191="Abstract","a",LOWER(_xlfn.CONCAT(LEFT(INDEX(_xlfn.TEXTSPLIT(E191," "),1),1),INDEX(_xlfn.TEXTSPLIT(E191," "),2))))</f>
        <v>s1</v>
      </c>
      <c r="J191" s="7"/>
      <c r="K191" s="9">
        <v>2</v>
      </c>
      <c r="L191" s="10"/>
      <c r="M191" s="11"/>
      <c r="N191" s="12"/>
      <c r="O191" s="13"/>
      <c r="P191" s="14"/>
      <c r="Q191" s="21"/>
      <c r="R191" s="22"/>
      <c r="S191" s="23"/>
      <c r="T191" s="15"/>
      <c r="U191" s="16"/>
      <c r="W191" t="str">
        <f>IF(G191-J191-SUM(K191:U191),G191-J191-SUM(K191:U191),"")</f>
        <v/>
      </c>
    </row>
    <row r="192" spans="1:23" x14ac:dyDescent="0.2">
      <c r="A192" s="7" t="str">
        <f t="shared" si="2"/>
        <v>acspolymersau/1c00054_si_ss1</v>
      </c>
      <c r="B192" s="7" t="s">
        <v>128</v>
      </c>
      <c r="C192" s="17" t="s">
        <v>176</v>
      </c>
      <c r="D192" s="7" t="s">
        <v>134</v>
      </c>
      <c r="E192" s="7" t="s">
        <v>158</v>
      </c>
      <c r="F192" s="7" t="s">
        <v>40</v>
      </c>
      <c r="G192" s="7">
        <v>5</v>
      </c>
      <c r="H192" s="7" t="str" cm="1">
        <f t="array" ref="H192">INDEX(_xlfn.TEXTSPLIT(INDEX(_xlfn.TEXTSPLIT(C192, "/"), 5), "."), 1)</f>
        <v>acspolymersau</v>
      </c>
      <c r="I192" s="7" t="str" cm="1">
        <f t="array" ref="I192">IF(E192="Abstract","a",LOWER(_xlfn.CONCAT(LEFT(INDEX(_xlfn.TEXTSPLIT(E192," "),1),1),INDEX(_xlfn.TEXTSPLIT(E192," "),2))))</f>
        <v>ss1</v>
      </c>
      <c r="J192" s="7">
        <v>3</v>
      </c>
      <c r="K192" s="9">
        <v>2</v>
      </c>
      <c r="L192" s="10"/>
      <c r="M192" s="11"/>
      <c r="N192" s="12"/>
      <c r="O192" s="13"/>
      <c r="P192" s="14"/>
      <c r="Q192" s="21"/>
      <c r="R192" s="22"/>
      <c r="S192" s="23"/>
      <c r="T192" s="15"/>
      <c r="U192" s="16"/>
      <c r="W192" t="str">
        <f>IF(G192-J192-SUM(K192:U192),G192-J192-SUM(K192:U192),"")</f>
        <v/>
      </c>
    </row>
    <row r="193" spans="1:23" x14ac:dyDescent="0.2">
      <c r="A193" s="7" t="str">
        <f t="shared" si="2"/>
        <v>acspolymersau/1c00057_f1</v>
      </c>
      <c r="B193" s="7" t="s">
        <v>128</v>
      </c>
      <c r="C193" s="17" t="s">
        <v>177</v>
      </c>
      <c r="D193" s="7" t="s">
        <v>22</v>
      </c>
      <c r="E193" s="7" t="s">
        <v>23</v>
      </c>
      <c r="F193" s="7" t="s">
        <v>40</v>
      </c>
      <c r="G193" s="7">
        <v>3</v>
      </c>
      <c r="H193" s="7" t="str" cm="1">
        <f t="array" ref="H193">INDEX(_xlfn.TEXTSPLIT(INDEX(_xlfn.TEXTSPLIT(C193, "/"), 5), "."), 1)</f>
        <v>acspolymersau</v>
      </c>
      <c r="I193" s="7" t="str" cm="1">
        <f t="array" ref="I193">IF(E193="Abstract","a",LOWER(_xlfn.CONCAT(LEFT(INDEX(_xlfn.TEXTSPLIT(E193," "),1),1),INDEX(_xlfn.TEXTSPLIT(E193," "),2))))</f>
        <v>f1</v>
      </c>
      <c r="J193" s="7">
        <v>2</v>
      </c>
      <c r="K193" s="9">
        <v>1</v>
      </c>
      <c r="L193" s="10"/>
      <c r="M193" s="11"/>
      <c r="N193" s="12"/>
      <c r="O193" s="13"/>
      <c r="P193" s="14"/>
      <c r="Q193" s="21"/>
      <c r="R193" s="22"/>
      <c r="S193" s="23"/>
      <c r="T193" s="15"/>
      <c r="U193" s="16"/>
      <c r="W193" t="str">
        <f>IF(G193-J193-SUM(K193:U193),G193-J193-SUM(K193:U193),"")</f>
        <v/>
      </c>
    </row>
    <row r="194" spans="1:23" x14ac:dyDescent="0.2">
      <c r="A194" s="7" t="str">
        <f t="shared" si="2"/>
        <v>acspolymersau/2c00001_f2</v>
      </c>
      <c r="B194" s="7" t="s">
        <v>128</v>
      </c>
      <c r="C194" s="17" t="s">
        <v>178</v>
      </c>
      <c r="D194" s="7" t="s">
        <v>22</v>
      </c>
      <c r="E194" s="7" t="s">
        <v>29</v>
      </c>
      <c r="F194" s="7" t="s">
        <v>40</v>
      </c>
      <c r="G194" s="7">
        <v>1</v>
      </c>
      <c r="H194" s="7" t="str" cm="1">
        <f t="array" ref="H194">INDEX(_xlfn.TEXTSPLIT(INDEX(_xlfn.TEXTSPLIT(C194, "/"), 5), "."), 1)</f>
        <v>acspolymersau</v>
      </c>
      <c r="I194" s="7" t="str" cm="1">
        <f t="array" ref="I194">IF(E194="Abstract","a",LOWER(_xlfn.CONCAT(LEFT(INDEX(_xlfn.TEXTSPLIT(E194," "),1),1),INDEX(_xlfn.TEXTSPLIT(E194," "),2))))</f>
        <v>f2</v>
      </c>
      <c r="J194" s="7"/>
      <c r="K194" s="9"/>
      <c r="L194" s="10"/>
      <c r="M194" s="11">
        <v>1</v>
      </c>
      <c r="N194" s="12"/>
      <c r="O194" s="13"/>
      <c r="P194" s="14"/>
      <c r="Q194" s="21"/>
      <c r="R194" s="22"/>
      <c r="S194" s="23"/>
      <c r="T194" s="15"/>
      <c r="U194" s="16"/>
      <c r="W194" t="str">
        <f>IF(G194-J194-SUM(K194:U194),G194-J194-SUM(K194:U194),"")</f>
        <v/>
      </c>
    </row>
    <row r="195" spans="1:23" x14ac:dyDescent="0.2">
      <c r="A195" s="7" t="str">
        <f t="shared" ref="A195:A258" si="3">_xlfn.CONCAT(H195, "/",RIGHT(C195,7),"_",IF(D195="SI","si_",""), I195)</f>
        <v>acspolymersau/2c00001_f3</v>
      </c>
      <c r="B195" s="7" t="s">
        <v>128</v>
      </c>
      <c r="C195" s="17" t="s">
        <v>178</v>
      </c>
      <c r="D195" s="7" t="s">
        <v>22</v>
      </c>
      <c r="E195" s="7" t="s">
        <v>44</v>
      </c>
      <c r="F195" s="7" t="s">
        <v>40</v>
      </c>
      <c r="G195" s="7">
        <v>1</v>
      </c>
      <c r="H195" s="7" t="str" cm="1">
        <f t="array" ref="H195">INDEX(_xlfn.TEXTSPLIT(INDEX(_xlfn.TEXTSPLIT(C195, "/"), 5), "."), 1)</f>
        <v>acspolymersau</v>
      </c>
      <c r="I195" s="7" t="str" cm="1">
        <f t="array" ref="I195">IF(E195="Abstract","a",LOWER(_xlfn.CONCAT(LEFT(INDEX(_xlfn.TEXTSPLIT(E195," "),1),1),INDEX(_xlfn.TEXTSPLIT(E195," "),2))))</f>
        <v>f3</v>
      </c>
      <c r="J195" s="7"/>
      <c r="K195" s="9"/>
      <c r="L195" s="10"/>
      <c r="M195" s="11">
        <v>1</v>
      </c>
      <c r="N195" s="12"/>
      <c r="O195" s="13"/>
      <c r="P195" s="14"/>
      <c r="Q195" s="21"/>
      <c r="R195" s="22"/>
      <c r="S195" s="23"/>
      <c r="T195" s="15"/>
      <c r="U195" s="16"/>
      <c r="W195" t="str">
        <f>IF(G195-J195-SUM(K195:U195),G195-J195-SUM(K195:U195),"")</f>
        <v/>
      </c>
    </row>
    <row r="196" spans="1:23" x14ac:dyDescent="0.2">
      <c r="A196" s="7" t="str">
        <f t="shared" si="3"/>
        <v>acspolymersau/2c00001_s1</v>
      </c>
      <c r="B196" s="7" t="s">
        <v>128</v>
      </c>
      <c r="C196" s="17" t="s">
        <v>178</v>
      </c>
      <c r="D196" s="7" t="s">
        <v>22</v>
      </c>
      <c r="E196" s="7" t="s">
        <v>31</v>
      </c>
      <c r="F196" s="7" t="s">
        <v>40</v>
      </c>
      <c r="G196" s="7">
        <v>1</v>
      </c>
      <c r="H196" s="7" t="str" cm="1">
        <f t="array" ref="H196">INDEX(_xlfn.TEXTSPLIT(INDEX(_xlfn.TEXTSPLIT(C196, "/"), 5), "."), 1)</f>
        <v>acspolymersau</v>
      </c>
      <c r="I196" s="7" t="str" cm="1">
        <f t="array" ref="I196">IF(E196="Abstract","a",LOWER(_xlfn.CONCAT(LEFT(INDEX(_xlfn.TEXTSPLIT(E196," "),1),1),INDEX(_xlfn.TEXTSPLIT(E196," "),2))))</f>
        <v>s1</v>
      </c>
      <c r="J196" s="7">
        <v>1</v>
      </c>
      <c r="K196" s="9"/>
      <c r="L196" s="10"/>
      <c r="M196" s="11"/>
      <c r="N196" s="12"/>
      <c r="O196" s="13"/>
      <c r="P196" s="14"/>
      <c r="Q196" s="21"/>
      <c r="R196" s="22"/>
      <c r="S196" s="23"/>
      <c r="T196" s="15"/>
      <c r="U196" s="16"/>
      <c r="W196" t="str">
        <f>IF(G196-J196-SUM(K196:U196),G196-J196-SUM(K196:U196),"")</f>
        <v/>
      </c>
    </row>
    <row r="197" spans="1:23" x14ac:dyDescent="0.2">
      <c r="A197" s="7" t="str">
        <f t="shared" si="3"/>
        <v>acspolymersau/2c00001_s2</v>
      </c>
      <c r="B197" s="7" t="s">
        <v>128</v>
      </c>
      <c r="C197" s="17" t="s">
        <v>178</v>
      </c>
      <c r="D197" s="7" t="s">
        <v>22</v>
      </c>
      <c r="E197" s="7" t="s">
        <v>55</v>
      </c>
      <c r="F197" s="7" t="s">
        <v>40</v>
      </c>
      <c r="G197" s="7">
        <v>4</v>
      </c>
      <c r="H197" s="7" t="str" cm="1">
        <f t="array" ref="H197">INDEX(_xlfn.TEXTSPLIT(INDEX(_xlfn.TEXTSPLIT(C197, "/"), 5), "."), 1)</f>
        <v>acspolymersau</v>
      </c>
      <c r="I197" s="7" t="str" cm="1">
        <f t="array" ref="I197">IF(E197="Abstract","a",LOWER(_xlfn.CONCAT(LEFT(INDEX(_xlfn.TEXTSPLIT(E197," "),1),1),INDEX(_xlfn.TEXTSPLIT(E197," "),2))))</f>
        <v>s2</v>
      </c>
      <c r="J197" s="7">
        <v>4</v>
      </c>
      <c r="K197" s="9"/>
      <c r="L197" s="10"/>
      <c r="M197" s="11"/>
      <c r="N197" s="12"/>
      <c r="O197" s="13"/>
      <c r="P197" s="14"/>
      <c r="Q197" s="21"/>
      <c r="R197" s="22"/>
      <c r="S197" s="23"/>
      <c r="T197" s="15"/>
      <c r="U197" s="16"/>
      <c r="W197" t="str">
        <f>IF(G197-J197-SUM(K197:U197),G197-J197-SUM(K197:U197),"")</f>
        <v/>
      </c>
    </row>
    <row r="198" spans="1:23" x14ac:dyDescent="0.2">
      <c r="A198" s="7" t="str">
        <f t="shared" si="3"/>
        <v>acspolymersau/2c00004_s1</v>
      </c>
      <c r="B198" s="7" t="s">
        <v>128</v>
      </c>
      <c r="C198" s="17" t="s">
        <v>179</v>
      </c>
      <c r="D198" s="7" t="s">
        <v>22</v>
      </c>
      <c r="E198" s="7" t="s">
        <v>31</v>
      </c>
      <c r="F198" s="7" t="s">
        <v>40</v>
      </c>
      <c r="G198" s="7">
        <v>3</v>
      </c>
      <c r="H198" s="7" t="str" cm="1">
        <f t="array" ref="H198">INDEX(_xlfn.TEXTSPLIT(INDEX(_xlfn.TEXTSPLIT(C198, "/"), 5), "."), 1)</f>
        <v>acspolymersau</v>
      </c>
      <c r="I198" s="7" t="str" cm="1">
        <f t="array" ref="I198">IF(E198="Abstract","a",LOWER(_xlfn.CONCAT(LEFT(INDEX(_xlfn.TEXTSPLIT(E198," "),1),1),INDEX(_xlfn.TEXTSPLIT(E198," "),2))))</f>
        <v>s1</v>
      </c>
      <c r="J198" s="7">
        <v>1</v>
      </c>
      <c r="K198" s="9"/>
      <c r="L198" s="10">
        <v>2</v>
      </c>
      <c r="M198" s="11"/>
      <c r="N198" s="12"/>
      <c r="O198" s="13"/>
      <c r="P198" s="14"/>
      <c r="Q198" s="21"/>
      <c r="R198" s="22"/>
      <c r="S198" s="23"/>
      <c r="T198" s="15"/>
      <c r="U198" s="16"/>
      <c r="W198" t="str">
        <f>IF(G198-J198-SUM(K198:U198),G198-J198-SUM(K198:U198),"")</f>
        <v/>
      </c>
    </row>
    <row r="199" spans="1:23" x14ac:dyDescent="0.2">
      <c r="A199" s="7" t="str">
        <f t="shared" si="3"/>
        <v>acspolymersau/2c00005_f1</v>
      </c>
      <c r="B199" s="7" t="s">
        <v>128</v>
      </c>
      <c r="C199" s="17" t="s">
        <v>180</v>
      </c>
      <c r="D199" s="7" t="s">
        <v>22</v>
      </c>
      <c r="E199" s="7" t="s">
        <v>23</v>
      </c>
      <c r="F199" s="7" t="s">
        <v>40</v>
      </c>
      <c r="G199" s="7">
        <v>1</v>
      </c>
      <c r="H199" s="7" t="str" cm="1">
        <f t="array" ref="H199">INDEX(_xlfn.TEXTSPLIT(INDEX(_xlfn.TEXTSPLIT(C199, "/"), 5), "."), 1)</f>
        <v>acspolymersau</v>
      </c>
      <c r="I199" s="7" t="str" cm="1">
        <f t="array" ref="I199">IF(E199="Abstract","a",LOWER(_xlfn.CONCAT(LEFT(INDEX(_xlfn.TEXTSPLIT(E199," "),1),1),INDEX(_xlfn.TEXTSPLIT(E199," "),2))))</f>
        <v>f1</v>
      </c>
      <c r="J199" s="7"/>
      <c r="K199" s="9"/>
      <c r="L199" s="10"/>
      <c r="M199" s="11">
        <v>1</v>
      </c>
      <c r="N199" s="12"/>
      <c r="O199" s="13"/>
      <c r="P199" s="14"/>
      <c r="Q199" s="21"/>
      <c r="R199" s="22"/>
      <c r="S199" s="23"/>
      <c r="T199" s="15"/>
      <c r="U199" s="16"/>
      <c r="W199" t="str">
        <f>IF(G199-J199-SUM(K199:U199),G199-J199-SUM(K199:U199),"")</f>
        <v/>
      </c>
    </row>
    <row r="200" spans="1:23" x14ac:dyDescent="0.2">
      <c r="A200" s="7" t="str">
        <f t="shared" si="3"/>
        <v>acspolymersau/2c00005_si_fs10a</v>
      </c>
      <c r="B200" s="7" t="s">
        <v>128</v>
      </c>
      <c r="C200" s="17" t="s">
        <v>180</v>
      </c>
      <c r="D200" s="7" t="s">
        <v>134</v>
      </c>
      <c r="E200" s="7" t="s">
        <v>181</v>
      </c>
      <c r="F200" s="7" t="s">
        <v>40</v>
      </c>
      <c r="G200" s="7">
        <v>1</v>
      </c>
      <c r="H200" s="7" t="str" cm="1">
        <f t="array" ref="H200">INDEX(_xlfn.TEXTSPLIT(INDEX(_xlfn.TEXTSPLIT(C200, "/"), 5), "."), 1)</f>
        <v>acspolymersau</v>
      </c>
      <c r="I200" s="7" t="str" cm="1">
        <f t="array" ref="I200">IF(E200="Abstract","a",LOWER(_xlfn.CONCAT(LEFT(INDEX(_xlfn.TEXTSPLIT(E200," "),1),1),INDEX(_xlfn.TEXTSPLIT(E200," "),2))))</f>
        <v>fs10a</v>
      </c>
      <c r="J200" s="7">
        <v>1</v>
      </c>
      <c r="K200" s="9"/>
      <c r="L200" s="10"/>
      <c r="M200" s="11"/>
      <c r="N200" s="12"/>
      <c r="O200" s="13"/>
      <c r="P200" s="14"/>
      <c r="Q200" s="21"/>
      <c r="R200" s="22"/>
      <c r="S200" s="23"/>
      <c r="T200" s="15"/>
      <c r="U200" s="16"/>
      <c r="W200" t="str">
        <f>IF(G200-J200-SUM(K200:U200),G200-J200-SUM(K200:U200),"")</f>
        <v/>
      </c>
    </row>
    <row r="201" spans="1:23" x14ac:dyDescent="0.2">
      <c r="A201" s="7" t="str">
        <f t="shared" si="3"/>
        <v>acspolymersau/2c00005_si_fs10b</v>
      </c>
      <c r="B201" s="7" t="s">
        <v>128</v>
      </c>
      <c r="C201" s="17" t="s">
        <v>180</v>
      </c>
      <c r="D201" s="7" t="s">
        <v>134</v>
      </c>
      <c r="E201" s="7" t="s">
        <v>182</v>
      </c>
      <c r="F201" s="7" t="s">
        <v>40</v>
      </c>
      <c r="G201" s="7">
        <v>1</v>
      </c>
      <c r="H201" s="7" t="str" cm="1">
        <f t="array" ref="H201">INDEX(_xlfn.TEXTSPLIT(INDEX(_xlfn.TEXTSPLIT(C201, "/"), 5), "."), 1)</f>
        <v>acspolymersau</v>
      </c>
      <c r="I201" s="7" t="str" cm="1">
        <f t="array" ref="I201">IF(E201="Abstract","a",LOWER(_xlfn.CONCAT(LEFT(INDEX(_xlfn.TEXTSPLIT(E201," "),1),1),INDEX(_xlfn.TEXTSPLIT(E201," "),2))))</f>
        <v>fs10b</v>
      </c>
      <c r="J201" s="7">
        <v>1</v>
      </c>
      <c r="K201" s="9"/>
      <c r="L201" s="10"/>
      <c r="M201" s="11"/>
      <c r="N201" s="12"/>
      <c r="O201" s="13"/>
      <c r="P201" s="14"/>
      <c r="Q201" s="21"/>
      <c r="R201" s="22"/>
      <c r="S201" s="23"/>
      <c r="T201" s="15"/>
      <c r="U201" s="16"/>
      <c r="W201" t="str">
        <f>IF(G201-J201-SUM(K201:U201),G201-J201-SUM(K201:U201),"")</f>
        <v/>
      </c>
    </row>
    <row r="202" spans="1:23" x14ac:dyDescent="0.2">
      <c r="A202" s="7" t="str">
        <f t="shared" si="3"/>
        <v>acspolymersau/2c00005_si_fs10c</v>
      </c>
      <c r="B202" s="7" t="s">
        <v>128</v>
      </c>
      <c r="C202" s="17" t="s">
        <v>180</v>
      </c>
      <c r="D202" s="7" t="s">
        <v>134</v>
      </c>
      <c r="E202" s="7" t="s">
        <v>183</v>
      </c>
      <c r="F202" s="7" t="s">
        <v>40</v>
      </c>
      <c r="G202" s="7">
        <v>1</v>
      </c>
      <c r="H202" s="7" t="str" cm="1">
        <f t="array" ref="H202">INDEX(_xlfn.TEXTSPLIT(INDEX(_xlfn.TEXTSPLIT(C202, "/"), 5), "."), 1)</f>
        <v>acspolymersau</v>
      </c>
      <c r="I202" s="7" t="str" cm="1">
        <f t="array" ref="I202">IF(E202="Abstract","a",LOWER(_xlfn.CONCAT(LEFT(INDEX(_xlfn.TEXTSPLIT(E202," "),1),1),INDEX(_xlfn.TEXTSPLIT(E202," "),2))))</f>
        <v>fs10c</v>
      </c>
      <c r="J202" s="7">
        <v>1</v>
      </c>
      <c r="K202" s="9"/>
      <c r="L202" s="10"/>
      <c r="M202" s="11"/>
      <c r="N202" s="12"/>
      <c r="O202" s="13"/>
      <c r="P202" s="14"/>
      <c r="Q202" s="21"/>
      <c r="R202" s="22"/>
      <c r="S202" s="23"/>
      <c r="T202" s="15"/>
      <c r="U202" s="16"/>
      <c r="W202" t="str">
        <f>IF(G202-J202-SUM(K202:U202),G202-J202-SUM(K202:U202),"")</f>
        <v/>
      </c>
    </row>
    <row r="203" spans="1:23" x14ac:dyDescent="0.2">
      <c r="A203" s="7" t="str">
        <f t="shared" si="3"/>
        <v>acspolymersau/2c00005_si_fs10d</v>
      </c>
      <c r="B203" s="7" t="s">
        <v>128</v>
      </c>
      <c r="C203" s="17" t="s">
        <v>180</v>
      </c>
      <c r="D203" s="7" t="s">
        <v>134</v>
      </c>
      <c r="E203" s="7" t="s">
        <v>184</v>
      </c>
      <c r="F203" s="7" t="s">
        <v>40</v>
      </c>
      <c r="G203" s="7">
        <v>1</v>
      </c>
      <c r="H203" s="7" t="str" cm="1">
        <f t="array" ref="H203">INDEX(_xlfn.TEXTSPLIT(INDEX(_xlfn.TEXTSPLIT(C203, "/"), 5), "."), 1)</f>
        <v>acspolymersau</v>
      </c>
      <c r="I203" s="7" t="str" cm="1">
        <f t="array" ref="I203">IF(E203="Abstract","a",LOWER(_xlfn.CONCAT(LEFT(INDEX(_xlfn.TEXTSPLIT(E203," "),1),1),INDEX(_xlfn.TEXTSPLIT(E203," "),2))))</f>
        <v>fs10d</v>
      </c>
      <c r="J203" s="7">
        <v>1</v>
      </c>
      <c r="K203" s="9"/>
      <c r="L203" s="10"/>
      <c r="M203" s="11"/>
      <c r="N203" s="12"/>
      <c r="O203" s="13"/>
      <c r="P203" s="14"/>
      <c r="Q203" s="21"/>
      <c r="R203" s="22"/>
      <c r="S203" s="23"/>
      <c r="T203" s="15"/>
      <c r="U203" s="16"/>
      <c r="W203" t="str">
        <f>IF(G203-J203-SUM(K203:U203),G203-J203-SUM(K203:U203),"")</f>
        <v/>
      </c>
    </row>
    <row r="204" spans="1:23" x14ac:dyDescent="0.2">
      <c r="A204" s="7" t="str">
        <f t="shared" si="3"/>
        <v>acspolymersau/2c00013_s1</v>
      </c>
      <c r="B204" s="7" t="s">
        <v>128</v>
      </c>
      <c r="C204" s="17" t="s">
        <v>185</v>
      </c>
      <c r="D204" s="7" t="s">
        <v>22</v>
      </c>
      <c r="E204" s="7" t="s">
        <v>31</v>
      </c>
      <c r="F204" s="7" t="s">
        <v>40</v>
      </c>
      <c r="G204" s="7">
        <v>1</v>
      </c>
      <c r="H204" s="7" t="str" cm="1">
        <f t="array" ref="H204">INDEX(_xlfn.TEXTSPLIT(INDEX(_xlfn.TEXTSPLIT(C204, "/"), 5), "."), 1)</f>
        <v>acspolymersau</v>
      </c>
      <c r="I204" s="7" t="str" cm="1">
        <f t="array" ref="I204">IF(E204="Abstract","a",LOWER(_xlfn.CONCAT(LEFT(INDEX(_xlfn.TEXTSPLIT(E204," "),1),1),INDEX(_xlfn.TEXTSPLIT(E204," "),2))))</f>
        <v>s1</v>
      </c>
      <c r="J204" s="7">
        <v>1</v>
      </c>
      <c r="K204" s="9"/>
      <c r="L204" s="10"/>
      <c r="M204" s="11"/>
      <c r="N204" s="12"/>
      <c r="O204" s="13"/>
      <c r="P204" s="14"/>
      <c r="Q204" s="21"/>
      <c r="R204" s="22"/>
      <c r="S204" s="23"/>
      <c r="T204" s="15"/>
      <c r="U204" s="16"/>
      <c r="W204" t="str">
        <f>IF(G204-J204-SUM(K204:U204),G204-J204-SUM(K204:U204),"")</f>
        <v/>
      </c>
    </row>
    <row r="205" spans="1:23" x14ac:dyDescent="0.2">
      <c r="A205" s="7" t="str">
        <f t="shared" si="3"/>
        <v>acspolymersau/2c00013_s2</v>
      </c>
      <c r="B205" s="7" t="s">
        <v>128</v>
      </c>
      <c r="C205" s="17" t="s">
        <v>185</v>
      </c>
      <c r="D205" s="7" t="s">
        <v>22</v>
      </c>
      <c r="E205" s="7" t="s">
        <v>55</v>
      </c>
      <c r="F205" s="7" t="s">
        <v>40</v>
      </c>
      <c r="G205" s="7">
        <v>3</v>
      </c>
      <c r="H205" s="7" t="str" cm="1">
        <f t="array" ref="H205">INDEX(_xlfn.TEXTSPLIT(INDEX(_xlfn.TEXTSPLIT(C205, "/"), 5), "."), 1)</f>
        <v>acspolymersau</v>
      </c>
      <c r="I205" s="7" t="str" cm="1">
        <f t="array" ref="I205">IF(E205="Abstract","a",LOWER(_xlfn.CONCAT(LEFT(INDEX(_xlfn.TEXTSPLIT(E205," "),1),1),INDEX(_xlfn.TEXTSPLIT(E205," "),2))))</f>
        <v>s2</v>
      </c>
      <c r="J205" s="7">
        <v>3</v>
      </c>
      <c r="K205" s="9"/>
      <c r="L205" s="10"/>
      <c r="M205" s="11"/>
      <c r="N205" s="12"/>
      <c r="O205" s="13"/>
      <c r="P205" s="14"/>
      <c r="Q205" s="21"/>
      <c r="R205" s="22"/>
      <c r="S205" s="23"/>
      <c r="T205" s="15"/>
      <c r="U205" s="16"/>
      <c r="W205" t="str">
        <f>IF(G205-J205-SUM(K205:U205),G205-J205-SUM(K205:U205),"")</f>
        <v/>
      </c>
    </row>
    <row r="206" spans="1:23" x14ac:dyDescent="0.2">
      <c r="A206" s="7" t="str">
        <f t="shared" si="3"/>
        <v>acspolymersau/2c00013_s3</v>
      </c>
      <c r="B206" s="7" t="s">
        <v>128</v>
      </c>
      <c r="C206" s="17" t="s">
        <v>185</v>
      </c>
      <c r="D206" s="7" t="s">
        <v>22</v>
      </c>
      <c r="E206" s="7" t="s">
        <v>56</v>
      </c>
      <c r="F206" s="7" t="s">
        <v>40</v>
      </c>
      <c r="G206" s="7">
        <v>2</v>
      </c>
      <c r="H206" s="7" t="str" cm="1">
        <f t="array" ref="H206">INDEX(_xlfn.TEXTSPLIT(INDEX(_xlfn.TEXTSPLIT(C206, "/"), 5), "."), 1)</f>
        <v>acspolymersau</v>
      </c>
      <c r="I206" s="7" t="str" cm="1">
        <f t="array" ref="I206">IF(E206="Abstract","a",LOWER(_xlfn.CONCAT(LEFT(INDEX(_xlfn.TEXTSPLIT(E206," "),1),1),INDEX(_xlfn.TEXTSPLIT(E206," "),2))))</f>
        <v>s3</v>
      </c>
      <c r="J206" s="7"/>
      <c r="K206" s="9">
        <v>2</v>
      </c>
      <c r="L206" s="10"/>
      <c r="M206" s="11"/>
      <c r="N206" s="12"/>
      <c r="O206" s="13"/>
      <c r="P206" s="14"/>
      <c r="Q206" s="21"/>
      <c r="R206" s="22"/>
      <c r="S206" s="23"/>
      <c r="T206" s="15"/>
      <c r="U206" s="16"/>
      <c r="W206" t="str">
        <f>IF(G206-J206-SUM(K206:U206),G206-J206-SUM(K206:U206),"")</f>
        <v/>
      </c>
    </row>
    <row r="207" spans="1:23" x14ac:dyDescent="0.2">
      <c r="A207" s="7" t="str">
        <f t="shared" si="3"/>
        <v>acspolymersau/2c00013_si_fs13</v>
      </c>
      <c r="B207" s="7" t="s">
        <v>128</v>
      </c>
      <c r="C207" s="17" t="s">
        <v>185</v>
      </c>
      <c r="D207" s="7" t="s">
        <v>134</v>
      </c>
      <c r="E207" s="7" t="s">
        <v>186</v>
      </c>
      <c r="F207" s="7" t="s">
        <v>40</v>
      </c>
      <c r="G207" s="7">
        <v>1</v>
      </c>
      <c r="H207" s="7" t="str" cm="1">
        <f t="array" ref="H207">INDEX(_xlfn.TEXTSPLIT(INDEX(_xlfn.TEXTSPLIT(C207, "/"), 5), "."), 1)</f>
        <v>acspolymersau</v>
      </c>
      <c r="I207" s="7" t="str" cm="1">
        <f t="array" ref="I207">IF(E207="Abstract","a",LOWER(_xlfn.CONCAT(LEFT(INDEX(_xlfn.TEXTSPLIT(E207," "),1),1),INDEX(_xlfn.TEXTSPLIT(E207," "),2))))</f>
        <v>fs13</v>
      </c>
      <c r="J207" s="7">
        <v>1</v>
      </c>
      <c r="K207" s="9"/>
      <c r="L207" s="10"/>
      <c r="M207" s="11"/>
      <c r="N207" s="12"/>
      <c r="O207" s="13"/>
      <c r="P207" s="14"/>
      <c r="Q207" s="21"/>
      <c r="R207" s="22"/>
      <c r="S207" s="23"/>
      <c r="T207" s="15"/>
      <c r="U207" s="16"/>
      <c r="W207" t="str">
        <f>IF(G207-J207-SUM(K207:U207),G207-J207-SUM(K207:U207),"")</f>
        <v/>
      </c>
    </row>
    <row r="208" spans="1:23" x14ac:dyDescent="0.2">
      <c r="A208" s="7" t="str">
        <f t="shared" si="3"/>
        <v>acspolymersau/2c00013_si_fs14</v>
      </c>
      <c r="B208" s="7" t="s">
        <v>128</v>
      </c>
      <c r="C208" s="17" t="s">
        <v>185</v>
      </c>
      <c r="D208" s="7" t="s">
        <v>134</v>
      </c>
      <c r="E208" s="7" t="s">
        <v>187</v>
      </c>
      <c r="F208" s="7" t="s">
        <v>40</v>
      </c>
      <c r="G208" s="7">
        <v>1</v>
      </c>
      <c r="H208" s="7" t="str" cm="1">
        <f t="array" ref="H208">INDEX(_xlfn.TEXTSPLIT(INDEX(_xlfn.TEXTSPLIT(C208, "/"), 5), "."), 1)</f>
        <v>acspolymersau</v>
      </c>
      <c r="I208" s="7" t="str" cm="1">
        <f t="array" ref="I208">IF(E208="Abstract","a",LOWER(_xlfn.CONCAT(LEFT(INDEX(_xlfn.TEXTSPLIT(E208," "),1),1),INDEX(_xlfn.TEXTSPLIT(E208," "),2))))</f>
        <v>fs14</v>
      </c>
      <c r="J208" s="7">
        <v>1</v>
      </c>
      <c r="K208" s="9"/>
      <c r="L208" s="10"/>
      <c r="M208" s="5"/>
      <c r="N208" s="12"/>
      <c r="O208" s="13"/>
      <c r="P208" s="14"/>
      <c r="Q208" s="21"/>
      <c r="R208" s="22"/>
      <c r="S208" s="23"/>
      <c r="T208" s="15"/>
      <c r="U208" s="16"/>
      <c r="W208" t="str">
        <f>IF(G208-J208-SUM(K208:U208),G208-J208-SUM(K208:U208),"")</f>
        <v/>
      </c>
    </row>
    <row r="209" spans="1:23" x14ac:dyDescent="0.2">
      <c r="A209" s="7" t="str">
        <f t="shared" si="3"/>
        <v>acspolymersau/2c00013_si_fs15</v>
      </c>
      <c r="B209" s="7" t="s">
        <v>128</v>
      </c>
      <c r="C209" s="17" t="s">
        <v>185</v>
      </c>
      <c r="D209" s="7" t="s">
        <v>134</v>
      </c>
      <c r="E209" s="7" t="s">
        <v>188</v>
      </c>
      <c r="F209" s="7" t="s">
        <v>40</v>
      </c>
      <c r="G209" s="7">
        <v>1</v>
      </c>
      <c r="H209" s="7" t="str" cm="1">
        <f t="array" ref="H209">INDEX(_xlfn.TEXTSPLIT(INDEX(_xlfn.TEXTSPLIT(C209, "/"), 5), "."), 1)</f>
        <v>acspolymersau</v>
      </c>
      <c r="I209" s="7" t="str" cm="1">
        <f t="array" ref="I209">IF(E209="Abstract","a",LOWER(_xlfn.CONCAT(LEFT(INDEX(_xlfn.TEXTSPLIT(E209," "),1),1),INDEX(_xlfn.TEXTSPLIT(E209," "),2))))</f>
        <v>fs15</v>
      </c>
      <c r="J209" s="7">
        <v>1</v>
      </c>
      <c r="K209" s="9"/>
      <c r="L209" s="10"/>
      <c r="M209" s="11"/>
      <c r="N209" s="12"/>
      <c r="O209" s="13"/>
      <c r="P209" s="14"/>
      <c r="Q209" s="21"/>
      <c r="R209" s="22"/>
      <c r="S209" s="23"/>
      <c r="T209" s="15"/>
      <c r="U209" s="16"/>
      <c r="W209" t="str">
        <f>IF(G209-J209-SUM(K209:U209),G209-J209-SUM(K209:U209),"")</f>
        <v/>
      </c>
    </row>
    <row r="210" spans="1:23" x14ac:dyDescent="0.2">
      <c r="A210" s="7" t="str">
        <f t="shared" si="3"/>
        <v>acspolymersau/2c00013_si_fs16</v>
      </c>
      <c r="B210" s="7" t="s">
        <v>128</v>
      </c>
      <c r="C210" s="17" t="s">
        <v>185</v>
      </c>
      <c r="D210" s="7" t="s">
        <v>134</v>
      </c>
      <c r="E210" s="7" t="s">
        <v>189</v>
      </c>
      <c r="F210" s="7" t="s">
        <v>40</v>
      </c>
      <c r="G210" s="7">
        <v>1</v>
      </c>
      <c r="H210" s="7" t="str" cm="1">
        <f t="array" ref="H210">INDEX(_xlfn.TEXTSPLIT(INDEX(_xlfn.TEXTSPLIT(C210, "/"), 5), "."), 1)</f>
        <v>acspolymersau</v>
      </c>
      <c r="I210" s="7" t="str" cm="1">
        <f t="array" ref="I210">IF(E210="Abstract","a",LOWER(_xlfn.CONCAT(LEFT(INDEX(_xlfn.TEXTSPLIT(E210," "),1),1),INDEX(_xlfn.TEXTSPLIT(E210," "),2))))</f>
        <v>fs16</v>
      </c>
      <c r="J210" s="7">
        <v>1</v>
      </c>
      <c r="K210" s="9"/>
      <c r="L210" s="10"/>
      <c r="M210" s="11"/>
      <c r="N210" s="12"/>
      <c r="O210" s="13"/>
      <c r="P210" s="14"/>
      <c r="Q210" s="21"/>
      <c r="R210" s="22"/>
      <c r="S210" s="23"/>
      <c r="T210" s="15"/>
      <c r="U210" s="16"/>
      <c r="W210" t="str">
        <f>IF(G210-J210-SUM(K210:U210),G210-J210-SUM(K210:U210),"")</f>
        <v/>
      </c>
    </row>
    <row r="211" spans="1:23" x14ac:dyDescent="0.2">
      <c r="A211" s="7" t="str">
        <f t="shared" si="3"/>
        <v>acspolymersau/2c00013_si_fs17</v>
      </c>
      <c r="B211" s="7" t="s">
        <v>128</v>
      </c>
      <c r="C211" s="17" t="s">
        <v>185</v>
      </c>
      <c r="D211" s="7" t="s">
        <v>134</v>
      </c>
      <c r="E211" s="7" t="s">
        <v>190</v>
      </c>
      <c r="F211" s="7" t="s">
        <v>40</v>
      </c>
      <c r="G211" s="7">
        <v>1</v>
      </c>
      <c r="H211" s="7" t="str" cm="1">
        <f t="array" ref="H211">INDEX(_xlfn.TEXTSPLIT(INDEX(_xlfn.TEXTSPLIT(C211, "/"), 5), "."), 1)</f>
        <v>acspolymersau</v>
      </c>
      <c r="I211" s="7" t="str" cm="1">
        <f t="array" ref="I211">IF(E211="Abstract","a",LOWER(_xlfn.CONCAT(LEFT(INDEX(_xlfn.TEXTSPLIT(E211," "),1),1),INDEX(_xlfn.TEXTSPLIT(E211," "),2))))</f>
        <v>fs17</v>
      </c>
      <c r="J211" s="7">
        <v>1</v>
      </c>
      <c r="K211" s="9"/>
      <c r="L211" s="10"/>
      <c r="M211" s="11"/>
      <c r="N211" s="12"/>
      <c r="O211" s="13"/>
      <c r="P211" s="14"/>
      <c r="Q211" s="21"/>
      <c r="R211" s="22"/>
      <c r="S211" s="23"/>
      <c r="T211" s="15"/>
      <c r="U211" s="16"/>
      <c r="W211" t="str">
        <f>IF(G211-J211-SUM(K211:U211),G211-J211-SUM(K211:U211),"")</f>
        <v/>
      </c>
    </row>
    <row r="212" spans="1:23" x14ac:dyDescent="0.2">
      <c r="A212" s="7" t="str">
        <f t="shared" si="3"/>
        <v>acspolymersau/2c00013_si_fs18</v>
      </c>
      <c r="B212" s="7" t="s">
        <v>128</v>
      </c>
      <c r="C212" s="17" t="s">
        <v>185</v>
      </c>
      <c r="D212" s="7" t="s">
        <v>134</v>
      </c>
      <c r="E212" s="7" t="s">
        <v>191</v>
      </c>
      <c r="F212" s="7" t="s">
        <v>40</v>
      </c>
      <c r="G212" s="7">
        <v>1</v>
      </c>
      <c r="H212" s="7" t="str" cm="1">
        <f t="array" ref="H212">INDEX(_xlfn.TEXTSPLIT(INDEX(_xlfn.TEXTSPLIT(C212, "/"), 5), "."), 1)</f>
        <v>acspolymersau</v>
      </c>
      <c r="I212" s="7" t="str" cm="1">
        <f t="array" ref="I212">IF(E212="Abstract","a",LOWER(_xlfn.CONCAT(LEFT(INDEX(_xlfn.TEXTSPLIT(E212," "),1),1),INDEX(_xlfn.TEXTSPLIT(E212," "),2))))</f>
        <v>fs18</v>
      </c>
      <c r="J212" s="7">
        <v>1</v>
      </c>
      <c r="K212" s="9"/>
      <c r="L212" s="10"/>
      <c r="M212" s="11"/>
      <c r="N212" s="12"/>
      <c r="O212" s="13"/>
      <c r="P212" s="14"/>
      <c r="Q212" s="21"/>
      <c r="R212" s="22"/>
      <c r="S212" s="23"/>
      <c r="T212" s="15"/>
      <c r="U212" s="16"/>
      <c r="W212" t="str">
        <f>IF(G212-J212-SUM(K212:U212),G212-J212-SUM(K212:U212),"")</f>
        <v/>
      </c>
    </row>
    <row r="213" spans="1:23" x14ac:dyDescent="0.2">
      <c r="A213" s="7" t="str">
        <f t="shared" si="3"/>
        <v>acspolymersau/2c00013_si_fs19</v>
      </c>
      <c r="B213" s="7" t="s">
        <v>128</v>
      </c>
      <c r="C213" s="17" t="s">
        <v>185</v>
      </c>
      <c r="D213" s="7" t="s">
        <v>134</v>
      </c>
      <c r="E213" s="7" t="s">
        <v>192</v>
      </c>
      <c r="F213" s="7" t="s">
        <v>40</v>
      </c>
      <c r="G213" s="7">
        <v>1</v>
      </c>
      <c r="H213" s="7" t="str" cm="1">
        <f t="array" ref="H213">INDEX(_xlfn.TEXTSPLIT(INDEX(_xlfn.TEXTSPLIT(C213, "/"), 5), "."), 1)</f>
        <v>acspolymersau</v>
      </c>
      <c r="I213" s="7" t="str" cm="1">
        <f t="array" ref="I213">IF(E213="Abstract","a",LOWER(_xlfn.CONCAT(LEFT(INDEX(_xlfn.TEXTSPLIT(E213," "),1),1),INDEX(_xlfn.TEXTSPLIT(E213," "),2))))</f>
        <v>fs19</v>
      </c>
      <c r="J213" s="7"/>
      <c r="K213" s="9">
        <v>1</v>
      </c>
      <c r="L213" s="10"/>
      <c r="M213" s="11"/>
      <c r="N213" s="12"/>
      <c r="O213" s="13"/>
      <c r="P213" s="14"/>
      <c r="Q213" s="21"/>
      <c r="R213" s="22"/>
      <c r="S213" s="23"/>
      <c r="T213" s="15"/>
      <c r="U213" s="16"/>
      <c r="W213" t="str">
        <f>IF(G213-J213-SUM(K213:U213),G213-J213-SUM(K213:U213),"")</f>
        <v/>
      </c>
    </row>
    <row r="214" spans="1:23" x14ac:dyDescent="0.2">
      <c r="A214" s="7" t="str">
        <f t="shared" si="3"/>
        <v>acspolymersau/2c00013_si_fs20</v>
      </c>
      <c r="B214" s="7" t="s">
        <v>128</v>
      </c>
      <c r="C214" s="17" t="s">
        <v>185</v>
      </c>
      <c r="D214" s="7" t="s">
        <v>134</v>
      </c>
      <c r="E214" s="7" t="s">
        <v>193</v>
      </c>
      <c r="F214" s="7" t="s">
        <v>40</v>
      </c>
      <c r="G214" s="7">
        <v>1</v>
      </c>
      <c r="H214" s="7" t="str" cm="1">
        <f t="array" ref="H214">INDEX(_xlfn.TEXTSPLIT(INDEX(_xlfn.TEXTSPLIT(C214, "/"), 5), "."), 1)</f>
        <v>acspolymersau</v>
      </c>
      <c r="I214" s="7" t="str" cm="1">
        <f t="array" ref="I214">IF(E214="Abstract","a",LOWER(_xlfn.CONCAT(LEFT(INDEX(_xlfn.TEXTSPLIT(E214," "),1),1),INDEX(_xlfn.TEXTSPLIT(E214," "),2))))</f>
        <v>fs20</v>
      </c>
      <c r="J214" s="7"/>
      <c r="K214" s="9">
        <v>1</v>
      </c>
      <c r="L214" s="10"/>
      <c r="M214" s="11"/>
      <c r="N214" s="12"/>
      <c r="O214" s="13"/>
      <c r="P214" s="14"/>
      <c r="Q214" s="21"/>
      <c r="R214" s="22"/>
      <c r="S214" s="23"/>
      <c r="T214" s="15"/>
      <c r="U214" s="16"/>
      <c r="W214" t="str">
        <f>IF(G214-J214-SUM(K214:U214),G214-J214-SUM(K214:U214),"")</f>
        <v/>
      </c>
    </row>
    <row r="215" spans="1:23" x14ac:dyDescent="0.2">
      <c r="A215" s="7" t="str">
        <f t="shared" si="3"/>
        <v>acspolymersau/2c00013_si_fs21</v>
      </c>
      <c r="B215" s="7" t="s">
        <v>128</v>
      </c>
      <c r="C215" s="17" t="s">
        <v>185</v>
      </c>
      <c r="D215" s="7" t="s">
        <v>134</v>
      </c>
      <c r="E215" s="7" t="s">
        <v>194</v>
      </c>
      <c r="F215" s="7" t="s">
        <v>40</v>
      </c>
      <c r="G215" s="7">
        <v>1</v>
      </c>
      <c r="H215" s="7" t="str" cm="1">
        <f t="array" ref="H215">INDEX(_xlfn.TEXTSPLIT(INDEX(_xlfn.TEXTSPLIT(C215, "/"), 5), "."), 1)</f>
        <v>acspolymersau</v>
      </c>
      <c r="I215" s="7" t="str" cm="1">
        <f t="array" ref="I215">IF(E215="Abstract","a",LOWER(_xlfn.CONCAT(LEFT(INDEX(_xlfn.TEXTSPLIT(E215," "),1),1),INDEX(_xlfn.TEXTSPLIT(E215," "),2))))</f>
        <v>fs21</v>
      </c>
      <c r="J215" s="7"/>
      <c r="K215" s="9">
        <v>1</v>
      </c>
      <c r="L215" s="10"/>
      <c r="M215" s="11"/>
      <c r="N215" s="12"/>
      <c r="O215" s="13"/>
      <c r="P215" s="14"/>
      <c r="Q215" s="21"/>
      <c r="R215" s="22"/>
      <c r="S215" s="23"/>
      <c r="T215" s="15"/>
      <c r="U215" s="16"/>
      <c r="W215" t="str">
        <f>IF(G215-J215-SUM(K215:U215),G215-J215-SUM(K215:U215),"")</f>
        <v/>
      </c>
    </row>
    <row r="216" spans="1:23" x14ac:dyDescent="0.2">
      <c r="A216" s="7" t="str">
        <f t="shared" si="3"/>
        <v>acspolymersau/2c00013_si_fs22</v>
      </c>
      <c r="B216" s="7" t="s">
        <v>128</v>
      </c>
      <c r="C216" s="17" t="s">
        <v>185</v>
      </c>
      <c r="D216" s="7" t="s">
        <v>134</v>
      </c>
      <c r="E216" s="7" t="s">
        <v>195</v>
      </c>
      <c r="F216" s="7" t="s">
        <v>40</v>
      </c>
      <c r="G216" s="7">
        <v>1</v>
      </c>
      <c r="H216" s="7" t="str" cm="1">
        <f t="array" ref="H216">INDEX(_xlfn.TEXTSPLIT(INDEX(_xlfn.TEXTSPLIT(C216, "/"), 5), "."), 1)</f>
        <v>acspolymersau</v>
      </c>
      <c r="I216" s="7" t="str" cm="1">
        <f t="array" ref="I216">IF(E216="Abstract","a",LOWER(_xlfn.CONCAT(LEFT(INDEX(_xlfn.TEXTSPLIT(E216," "),1),1),INDEX(_xlfn.TEXTSPLIT(E216," "),2))))</f>
        <v>fs22</v>
      </c>
      <c r="J216" s="7"/>
      <c r="K216" s="9">
        <v>1</v>
      </c>
      <c r="L216" s="10"/>
      <c r="M216" s="11"/>
      <c r="N216" s="12"/>
      <c r="O216" s="13"/>
      <c r="P216" s="14"/>
      <c r="Q216" s="21"/>
      <c r="R216" s="22"/>
      <c r="S216" s="23"/>
      <c r="T216" s="15"/>
      <c r="U216" s="16"/>
      <c r="W216" t="str">
        <f>IF(G216-J216-SUM(K216:U216),G216-J216-SUM(K216:U216),"")</f>
        <v/>
      </c>
    </row>
    <row r="217" spans="1:23" x14ac:dyDescent="0.2">
      <c r="A217" s="7" t="str">
        <f t="shared" si="3"/>
        <v>acspolymersau/2c00014_s1</v>
      </c>
      <c r="B217" s="7" t="s">
        <v>128</v>
      </c>
      <c r="C217" s="17" t="s">
        <v>196</v>
      </c>
      <c r="D217" s="7" t="s">
        <v>22</v>
      </c>
      <c r="E217" s="7" t="s">
        <v>31</v>
      </c>
      <c r="F217" s="7" t="s">
        <v>40</v>
      </c>
      <c r="G217" s="7">
        <v>3</v>
      </c>
      <c r="H217" s="7" t="str" cm="1">
        <f t="array" ref="H217">INDEX(_xlfn.TEXTSPLIT(INDEX(_xlfn.TEXTSPLIT(C217, "/"), 5), "."), 1)</f>
        <v>acspolymersau</v>
      </c>
      <c r="I217" s="7" t="str" cm="1">
        <f t="array" ref="I217">IF(E217="Abstract","a",LOWER(_xlfn.CONCAT(LEFT(INDEX(_xlfn.TEXTSPLIT(E217," "),1),1),INDEX(_xlfn.TEXTSPLIT(E217," "),2))))</f>
        <v>s1</v>
      </c>
      <c r="J217" s="7">
        <v>2</v>
      </c>
      <c r="K217" s="9"/>
      <c r="L217" s="10"/>
      <c r="M217" s="11"/>
      <c r="N217" s="12"/>
      <c r="O217" s="13"/>
      <c r="P217" s="14"/>
      <c r="Q217" s="21">
        <v>1</v>
      </c>
      <c r="R217" s="22"/>
      <c r="S217" s="23"/>
      <c r="T217" s="15"/>
      <c r="U217" s="16"/>
      <c r="W217" t="str">
        <f>IF(G217-J217-SUM(K217:U217),G217-J217-SUM(K217:U217),"")</f>
        <v/>
      </c>
    </row>
    <row r="218" spans="1:23" x14ac:dyDescent="0.2">
      <c r="A218" s="7" t="str">
        <f t="shared" si="3"/>
        <v>acspolymersau/2c00017_f1</v>
      </c>
      <c r="B218" s="7" t="s">
        <v>128</v>
      </c>
      <c r="C218" s="17" t="s">
        <v>197</v>
      </c>
      <c r="D218" s="7" t="s">
        <v>22</v>
      </c>
      <c r="E218" s="7" t="s">
        <v>23</v>
      </c>
      <c r="F218" s="7" t="s">
        <v>33</v>
      </c>
      <c r="G218" s="7">
        <v>2</v>
      </c>
      <c r="H218" s="7" t="str" cm="1">
        <f t="array" ref="H218">INDEX(_xlfn.TEXTSPLIT(INDEX(_xlfn.TEXTSPLIT(C218, "/"), 5), "."), 1)</f>
        <v>acspolymersau</v>
      </c>
      <c r="I218" s="7" t="str" cm="1">
        <f t="array" ref="I218">IF(E218="Abstract","a",LOWER(_xlfn.CONCAT(LEFT(INDEX(_xlfn.TEXTSPLIT(E218," "),1),1),INDEX(_xlfn.TEXTSPLIT(E218," "),2))))</f>
        <v>f1</v>
      </c>
      <c r="J218" s="7">
        <v>2</v>
      </c>
      <c r="K218" s="9"/>
      <c r="L218" s="10"/>
      <c r="M218" s="11"/>
      <c r="N218" s="12"/>
      <c r="O218" s="13"/>
      <c r="P218" s="14"/>
      <c r="Q218" s="21"/>
      <c r="R218" s="22"/>
      <c r="S218" s="23"/>
      <c r="T218" s="15"/>
      <c r="U218" s="16"/>
      <c r="W218" t="str">
        <f>IF(G218-J218-SUM(K218:U218),G218-J218-SUM(K218:U218),"")</f>
        <v/>
      </c>
    </row>
    <row r="219" spans="1:23" x14ac:dyDescent="0.2">
      <c r="A219" s="7" t="str">
        <f t="shared" si="3"/>
        <v>acspolymersau/2c00017_f2</v>
      </c>
      <c r="B219" s="7" t="s">
        <v>128</v>
      </c>
      <c r="C219" s="17" t="s">
        <v>197</v>
      </c>
      <c r="D219" s="7" t="s">
        <v>22</v>
      </c>
      <c r="E219" s="7" t="s">
        <v>29</v>
      </c>
      <c r="F219" s="7" t="s">
        <v>33</v>
      </c>
      <c r="G219" s="7">
        <v>2</v>
      </c>
      <c r="H219" s="7" t="str" cm="1">
        <f t="array" ref="H219">INDEX(_xlfn.TEXTSPLIT(INDEX(_xlfn.TEXTSPLIT(C219, "/"), 5), "."), 1)</f>
        <v>acspolymersau</v>
      </c>
      <c r="I219" s="7" t="str" cm="1">
        <f t="array" ref="I219">IF(E219="Abstract","a",LOWER(_xlfn.CONCAT(LEFT(INDEX(_xlfn.TEXTSPLIT(E219," "),1),1),INDEX(_xlfn.TEXTSPLIT(E219," "),2))))</f>
        <v>f2</v>
      </c>
      <c r="J219" s="7">
        <v>2</v>
      </c>
      <c r="K219" s="9"/>
      <c r="L219" s="10"/>
      <c r="M219" s="11"/>
      <c r="N219" s="12"/>
      <c r="O219" s="13"/>
      <c r="P219" s="14"/>
      <c r="Q219" s="21"/>
      <c r="R219" s="22"/>
      <c r="S219" s="23"/>
      <c r="T219" s="15"/>
      <c r="U219" s="16"/>
      <c r="W219" t="str">
        <f>IF(G219-J219-SUM(K219:U219),G219-J219-SUM(K219:U219),"")</f>
        <v/>
      </c>
    </row>
    <row r="220" spans="1:23" x14ac:dyDescent="0.2">
      <c r="A220" s="7" t="str">
        <f t="shared" si="3"/>
        <v>acspolymersau/2c00017_f4</v>
      </c>
      <c r="B220" s="7" t="s">
        <v>128</v>
      </c>
      <c r="C220" s="17" t="s">
        <v>197</v>
      </c>
      <c r="D220" s="7" t="s">
        <v>22</v>
      </c>
      <c r="E220" s="7" t="s">
        <v>42</v>
      </c>
      <c r="F220" s="7" t="s">
        <v>33</v>
      </c>
      <c r="G220" s="7">
        <v>3</v>
      </c>
      <c r="H220" s="7" t="str" cm="1">
        <f t="array" ref="H220">INDEX(_xlfn.TEXTSPLIT(INDEX(_xlfn.TEXTSPLIT(C220, "/"), 5), "."), 1)</f>
        <v>acspolymersau</v>
      </c>
      <c r="I220" s="7" t="str" cm="1">
        <f t="array" ref="I220">IF(E220="Abstract","a",LOWER(_xlfn.CONCAT(LEFT(INDEX(_xlfn.TEXTSPLIT(E220," "),1),1),INDEX(_xlfn.TEXTSPLIT(E220," "),2))))</f>
        <v>f4</v>
      </c>
      <c r="J220" s="7">
        <v>1</v>
      </c>
      <c r="K220" s="9"/>
      <c r="L220" s="10">
        <v>2</v>
      </c>
      <c r="M220" s="11"/>
      <c r="N220" s="12"/>
      <c r="O220" s="13"/>
      <c r="P220" s="14"/>
      <c r="Q220" s="21"/>
      <c r="R220" s="22"/>
      <c r="S220" s="23"/>
      <c r="T220" s="15"/>
      <c r="U220" s="16"/>
      <c r="W220" t="str">
        <f>IF(G220-J220-SUM(K220:U220),G220-J220-SUM(K220:U220),"")</f>
        <v/>
      </c>
    </row>
    <row r="221" spans="1:23" x14ac:dyDescent="0.2">
      <c r="A221" s="7" t="str">
        <f t="shared" si="3"/>
        <v>acspolymersau/2c00017_si_fs1</v>
      </c>
      <c r="B221" s="7" t="s">
        <v>128</v>
      </c>
      <c r="C221" s="17" t="s">
        <v>197</v>
      </c>
      <c r="D221" s="7" t="s">
        <v>134</v>
      </c>
      <c r="E221" s="7" t="s">
        <v>198</v>
      </c>
      <c r="F221" s="7" t="s">
        <v>33</v>
      </c>
      <c r="G221" s="7">
        <v>9</v>
      </c>
      <c r="H221" s="7" t="str" cm="1">
        <f t="array" ref="H221">INDEX(_xlfn.TEXTSPLIT(INDEX(_xlfn.TEXTSPLIT(C221, "/"), 5), "."), 1)</f>
        <v>acspolymersau</v>
      </c>
      <c r="I221" s="7" t="str" cm="1">
        <f t="array" ref="I221">IF(E221="Abstract","a",LOWER(_xlfn.CONCAT(LEFT(INDEX(_xlfn.TEXTSPLIT(E221," "),1),1),INDEX(_xlfn.TEXTSPLIT(E221," "),2))))</f>
        <v>fs1</v>
      </c>
      <c r="J221" s="7">
        <v>9</v>
      </c>
      <c r="K221" s="9"/>
      <c r="L221" s="10"/>
      <c r="M221" s="11"/>
      <c r="N221" s="12"/>
      <c r="O221" s="13"/>
      <c r="P221" s="14"/>
      <c r="Q221" s="21"/>
      <c r="R221" s="22"/>
      <c r="S221" s="23"/>
      <c r="T221" s="15"/>
      <c r="U221" s="16"/>
      <c r="W221" t="str">
        <f>IF(G221-J221-SUM(K221:U221),G221-J221-SUM(K221:U221),"")</f>
        <v/>
      </c>
    </row>
    <row r="222" spans="1:23" x14ac:dyDescent="0.2">
      <c r="A222" s="7" t="str">
        <f t="shared" si="3"/>
        <v>acspolymersau/2c00017_si_fs12</v>
      </c>
      <c r="B222" s="7" t="s">
        <v>128</v>
      </c>
      <c r="C222" s="17" t="s">
        <v>197</v>
      </c>
      <c r="D222" s="7" t="s">
        <v>134</v>
      </c>
      <c r="E222" s="7" t="s">
        <v>199</v>
      </c>
      <c r="F222" s="7" t="s">
        <v>33</v>
      </c>
      <c r="G222" s="7">
        <v>1</v>
      </c>
      <c r="H222" s="7" t="str" cm="1">
        <f t="array" ref="H222">INDEX(_xlfn.TEXTSPLIT(INDEX(_xlfn.TEXTSPLIT(C222, "/"), 5), "."), 1)</f>
        <v>acspolymersau</v>
      </c>
      <c r="I222" s="7" t="str" cm="1">
        <f t="array" ref="I222">IF(E222="Abstract","a",LOWER(_xlfn.CONCAT(LEFT(INDEX(_xlfn.TEXTSPLIT(E222," "),1),1),INDEX(_xlfn.TEXTSPLIT(E222," "),2))))</f>
        <v>fs12</v>
      </c>
      <c r="J222" s="7">
        <v>1</v>
      </c>
      <c r="K222" s="9"/>
      <c r="L222" s="10"/>
      <c r="M222" s="11"/>
      <c r="N222" s="12"/>
      <c r="O222" s="13"/>
      <c r="P222" s="14"/>
      <c r="Q222" s="21"/>
      <c r="R222" s="22"/>
      <c r="S222" s="23"/>
      <c r="T222" s="15"/>
      <c r="U222" s="16"/>
      <c r="W222" t="str">
        <f>IF(G222-J222-SUM(K222:U222),G222-J222-SUM(K222:U222),"")</f>
        <v/>
      </c>
    </row>
    <row r="223" spans="1:23" x14ac:dyDescent="0.2">
      <c r="A223" s="7" t="str">
        <f t="shared" si="3"/>
        <v>acspolymersau/2c00017_si_fs5</v>
      </c>
      <c r="B223" s="7" t="s">
        <v>128</v>
      </c>
      <c r="C223" s="17" t="s">
        <v>197</v>
      </c>
      <c r="D223" s="7" t="s">
        <v>134</v>
      </c>
      <c r="E223" s="7" t="s">
        <v>200</v>
      </c>
      <c r="F223" s="7" t="s">
        <v>33</v>
      </c>
      <c r="G223" s="7">
        <v>2</v>
      </c>
      <c r="H223" s="7" t="str" cm="1">
        <f t="array" ref="H223">INDEX(_xlfn.TEXTSPLIT(INDEX(_xlfn.TEXTSPLIT(C223, "/"), 5), "."), 1)</f>
        <v>acspolymersau</v>
      </c>
      <c r="I223" s="7" t="str" cm="1">
        <f t="array" ref="I223">IF(E223="Abstract","a",LOWER(_xlfn.CONCAT(LEFT(INDEX(_xlfn.TEXTSPLIT(E223," "),1),1),INDEX(_xlfn.TEXTSPLIT(E223," "),2))))</f>
        <v>fs5</v>
      </c>
      <c r="J223" s="7">
        <v>2</v>
      </c>
      <c r="K223" s="9"/>
      <c r="L223" s="10"/>
      <c r="M223" s="11"/>
      <c r="N223" s="12"/>
      <c r="O223" s="13"/>
      <c r="P223" s="14"/>
      <c r="Q223" s="21"/>
      <c r="R223" s="22"/>
      <c r="S223" s="23"/>
      <c r="T223" s="15"/>
      <c r="U223" s="16"/>
      <c r="W223" t="str">
        <f>IF(G223-J223-SUM(K223:U223),G223-J223-SUM(K223:U223),"")</f>
        <v/>
      </c>
    </row>
    <row r="224" spans="1:23" x14ac:dyDescent="0.2">
      <c r="A224" s="7" t="str">
        <f t="shared" si="3"/>
        <v>acspolymersau/2c00017_si_fs9</v>
      </c>
      <c r="B224" s="7" t="s">
        <v>128</v>
      </c>
      <c r="C224" s="17" t="s">
        <v>197</v>
      </c>
      <c r="D224" s="7" t="s">
        <v>134</v>
      </c>
      <c r="E224" s="7" t="s">
        <v>201</v>
      </c>
      <c r="F224" s="7" t="s">
        <v>33</v>
      </c>
      <c r="G224" s="7">
        <v>2</v>
      </c>
      <c r="H224" s="7" t="str" cm="1">
        <f t="array" ref="H224">INDEX(_xlfn.TEXTSPLIT(INDEX(_xlfn.TEXTSPLIT(C224, "/"), 5), "."), 1)</f>
        <v>acspolymersau</v>
      </c>
      <c r="I224" s="7" t="str" cm="1">
        <f t="array" ref="I224">IF(E224="Abstract","a",LOWER(_xlfn.CONCAT(LEFT(INDEX(_xlfn.TEXTSPLIT(E224," "),1),1),INDEX(_xlfn.TEXTSPLIT(E224," "),2))))</f>
        <v>fs9</v>
      </c>
      <c r="J224" s="7">
        <v>2</v>
      </c>
      <c r="K224" s="9"/>
      <c r="L224" s="10"/>
      <c r="M224" s="11"/>
      <c r="N224" s="12"/>
      <c r="O224" s="13"/>
      <c r="P224" s="14"/>
      <c r="Q224" s="21"/>
      <c r="R224" s="22"/>
      <c r="S224" s="23"/>
      <c r="T224" s="15"/>
      <c r="U224" s="16"/>
      <c r="W224" t="str">
        <f>IF(G224-J224-SUM(K224:U224),G224-J224-SUM(K224:U224),"")</f>
        <v/>
      </c>
    </row>
    <row r="225" spans="1:23" s="6" customFormat="1" x14ac:dyDescent="0.2">
      <c r="A225" s="8" t="str">
        <f t="shared" si="3"/>
        <v>acspolymersau/2c00019_f1</v>
      </c>
      <c r="B225" s="8" t="s">
        <v>128</v>
      </c>
      <c r="C225" s="20" t="s">
        <v>202</v>
      </c>
      <c r="D225" s="8" t="s">
        <v>22</v>
      </c>
      <c r="E225" s="8" t="s">
        <v>23</v>
      </c>
      <c r="F225" s="8" t="s">
        <v>40</v>
      </c>
      <c r="G225" s="8">
        <v>2</v>
      </c>
      <c r="H225" s="8" t="str" cm="1">
        <f t="array" ref="H225">INDEX(_xlfn.TEXTSPLIT(INDEX(_xlfn.TEXTSPLIT(C225, "/"), 5), "."), 1)</f>
        <v>acspolymersau</v>
      </c>
      <c r="I225" s="8" t="str" cm="1">
        <f t="array" ref="I225">IF(E225="Abstract","a",LOWER(_xlfn.CONCAT(LEFT(INDEX(_xlfn.TEXTSPLIT(E225," "),1),1),INDEX(_xlfn.TEXTSPLIT(E225," "),2))))</f>
        <v>f1</v>
      </c>
      <c r="J225" s="19"/>
      <c r="K225" s="9"/>
      <c r="L225" s="10"/>
      <c r="M225" s="11"/>
      <c r="N225" s="12"/>
      <c r="O225" s="13"/>
      <c r="P225" s="14"/>
      <c r="Q225" s="21"/>
      <c r="R225" s="22"/>
      <c r="S225" s="23"/>
      <c r="T225" s="15"/>
      <c r="U225" s="16">
        <v>2</v>
      </c>
      <c r="W225" s="6" t="str">
        <f>IF(G225-J225-SUM(K225:U225),G225-J225-SUM(K225:U225),"")</f>
        <v/>
      </c>
    </row>
    <row r="226" spans="1:23" x14ac:dyDescent="0.2">
      <c r="A226" s="7" t="str">
        <f t="shared" si="3"/>
        <v>acspolymersau/2c00019_s1</v>
      </c>
      <c r="B226" s="7" t="s">
        <v>128</v>
      </c>
      <c r="C226" s="17" t="s">
        <v>202</v>
      </c>
      <c r="D226" s="7" t="s">
        <v>22</v>
      </c>
      <c r="E226" s="7" t="s">
        <v>31</v>
      </c>
      <c r="F226" s="7" t="s">
        <v>40</v>
      </c>
      <c r="G226" s="7">
        <v>2</v>
      </c>
      <c r="H226" s="7" t="str" cm="1">
        <f t="array" ref="H226">INDEX(_xlfn.TEXTSPLIT(INDEX(_xlfn.TEXTSPLIT(C226, "/"), 5), "."), 1)</f>
        <v>acspolymersau</v>
      </c>
      <c r="I226" s="7" t="str" cm="1">
        <f t="array" ref="I226">IF(E226="Abstract","a",LOWER(_xlfn.CONCAT(LEFT(INDEX(_xlfn.TEXTSPLIT(E226," "),1),1),INDEX(_xlfn.TEXTSPLIT(E226," "),2))))</f>
        <v>s1</v>
      </c>
      <c r="J226" s="7">
        <v>1</v>
      </c>
      <c r="K226" s="9"/>
      <c r="L226" s="10"/>
      <c r="M226" s="11"/>
      <c r="N226" s="12"/>
      <c r="O226" s="13"/>
      <c r="P226" s="14"/>
      <c r="Q226" s="21"/>
      <c r="R226" s="22"/>
      <c r="S226" s="23">
        <v>1</v>
      </c>
      <c r="T226" s="15"/>
      <c r="U226" s="16"/>
      <c r="W226" t="str">
        <f>IF(G226-J226-SUM(K226:U226),G226-J226-SUM(K226:U226),"")</f>
        <v/>
      </c>
    </row>
    <row r="227" spans="1:23" x14ac:dyDescent="0.2">
      <c r="A227" s="7" t="str">
        <f t="shared" si="3"/>
        <v>acspolymersau/2c00023_si_fs6</v>
      </c>
      <c r="B227" s="7" t="s">
        <v>128</v>
      </c>
      <c r="C227" s="17" t="s">
        <v>203</v>
      </c>
      <c r="D227" s="7" t="s">
        <v>134</v>
      </c>
      <c r="E227" s="7" t="s">
        <v>204</v>
      </c>
      <c r="F227" s="7" t="s">
        <v>33</v>
      </c>
      <c r="G227" s="7">
        <v>1</v>
      </c>
      <c r="H227" s="7" t="str" cm="1">
        <f t="array" ref="H227">INDEX(_xlfn.TEXTSPLIT(INDEX(_xlfn.TEXTSPLIT(C227, "/"), 5), "."), 1)</f>
        <v>acspolymersau</v>
      </c>
      <c r="I227" s="7" t="str" cm="1">
        <f t="array" ref="I227">IF(E227="Abstract","a",LOWER(_xlfn.CONCAT(LEFT(INDEX(_xlfn.TEXTSPLIT(E227," "),1),1),INDEX(_xlfn.TEXTSPLIT(E227," "),2))))</f>
        <v>fs6</v>
      </c>
      <c r="J227" s="7"/>
      <c r="K227" s="9">
        <v>1</v>
      </c>
      <c r="L227" s="10"/>
      <c r="M227" s="11"/>
      <c r="N227" s="12"/>
      <c r="O227" s="13"/>
      <c r="P227" s="14"/>
      <c r="Q227" s="21"/>
      <c r="R227" s="22"/>
      <c r="S227" s="23"/>
      <c r="T227" s="15"/>
      <c r="U227" s="16"/>
      <c r="W227" t="str">
        <f>IF(G227-J227-SUM(K227:U227),G227-J227-SUM(K227:U227),"")</f>
        <v/>
      </c>
    </row>
    <row r="228" spans="1:23" x14ac:dyDescent="0.2">
      <c r="A228" s="7" t="str">
        <f t="shared" si="3"/>
        <v>acspolymersau/2c00026_f6</v>
      </c>
      <c r="B228" s="7" t="s">
        <v>128</v>
      </c>
      <c r="C228" s="17" t="s">
        <v>205</v>
      </c>
      <c r="D228" s="7" t="s">
        <v>22</v>
      </c>
      <c r="E228" s="7" t="s">
        <v>138</v>
      </c>
      <c r="F228" s="7" t="s">
        <v>33</v>
      </c>
      <c r="G228" s="7">
        <v>4</v>
      </c>
      <c r="H228" s="7" t="str" cm="1">
        <f t="array" ref="H228">INDEX(_xlfn.TEXTSPLIT(INDEX(_xlfn.TEXTSPLIT(C228, "/"), 5), "."), 1)</f>
        <v>acspolymersau</v>
      </c>
      <c r="I228" s="7" t="str" cm="1">
        <f t="array" ref="I228">IF(E228="Abstract","a",LOWER(_xlfn.CONCAT(LEFT(INDEX(_xlfn.TEXTSPLIT(E228," "),1),1),INDEX(_xlfn.TEXTSPLIT(E228," "),2))))</f>
        <v>f6</v>
      </c>
      <c r="J228" s="7">
        <v>2</v>
      </c>
      <c r="K228" s="9"/>
      <c r="L228" s="10"/>
      <c r="M228" s="11">
        <v>2</v>
      </c>
      <c r="N228" s="12"/>
      <c r="O228" s="13"/>
      <c r="P228" s="14"/>
      <c r="Q228" s="21"/>
      <c r="R228" s="22"/>
      <c r="S228" s="23"/>
      <c r="T228" s="15"/>
      <c r="U228" s="16"/>
      <c r="W228" t="str">
        <f>IF(G228-J228-SUM(K228:U228),G228-J228-SUM(K228:U228),"")</f>
        <v/>
      </c>
    </row>
    <row r="229" spans="1:23" x14ac:dyDescent="0.2">
      <c r="A229" s="7" t="str">
        <f t="shared" si="3"/>
        <v>acspolymersau/2c00026_f8</v>
      </c>
      <c r="B229" s="7" t="s">
        <v>128</v>
      </c>
      <c r="C229" s="17" t="s">
        <v>205</v>
      </c>
      <c r="D229" s="7" t="s">
        <v>22</v>
      </c>
      <c r="E229" s="7" t="s">
        <v>206</v>
      </c>
      <c r="F229" s="7" t="s">
        <v>33</v>
      </c>
      <c r="G229" s="7">
        <v>2</v>
      </c>
      <c r="H229" s="7" t="str" cm="1">
        <f t="array" ref="H229">INDEX(_xlfn.TEXTSPLIT(INDEX(_xlfn.TEXTSPLIT(C229, "/"), 5), "."), 1)</f>
        <v>acspolymersau</v>
      </c>
      <c r="I229" s="7" t="str" cm="1">
        <f t="array" ref="I229">IF(E229="Abstract","a",LOWER(_xlfn.CONCAT(LEFT(INDEX(_xlfn.TEXTSPLIT(E229," "),1),1),INDEX(_xlfn.TEXTSPLIT(E229," "),2))))</f>
        <v>f8</v>
      </c>
      <c r="J229" s="7"/>
      <c r="K229" s="9"/>
      <c r="L229" s="10"/>
      <c r="M229" s="11">
        <v>2</v>
      </c>
      <c r="N229" s="12"/>
      <c r="O229" s="13"/>
      <c r="P229" s="14"/>
      <c r="Q229" s="21"/>
      <c r="R229" s="22"/>
      <c r="S229" s="23"/>
      <c r="T229" s="15"/>
      <c r="U229" s="16"/>
      <c r="W229" t="str">
        <f>IF(G229-J229-SUM(K229:U229),G229-J229-SUM(K229:U229),"")</f>
        <v/>
      </c>
    </row>
    <row r="230" spans="1:23" x14ac:dyDescent="0.2">
      <c r="A230" s="7" t="str">
        <f t="shared" si="3"/>
        <v>acspolymersau/2c00027_f1</v>
      </c>
      <c r="B230" s="7" t="s">
        <v>128</v>
      </c>
      <c r="C230" s="17" t="s">
        <v>207</v>
      </c>
      <c r="D230" s="7" t="s">
        <v>22</v>
      </c>
      <c r="E230" s="7" t="s">
        <v>23</v>
      </c>
      <c r="F230" s="7" t="s">
        <v>40</v>
      </c>
      <c r="G230" s="7">
        <v>2</v>
      </c>
      <c r="H230" s="7" t="str" cm="1">
        <f t="array" ref="H230">INDEX(_xlfn.TEXTSPLIT(INDEX(_xlfn.TEXTSPLIT(C230, "/"), 5), "."), 1)</f>
        <v>acspolymersau</v>
      </c>
      <c r="I230" s="7" t="str" cm="1">
        <f t="array" ref="I230">IF(E230="Abstract","a",LOWER(_xlfn.CONCAT(LEFT(INDEX(_xlfn.TEXTSPLIT(E230," "),1),1),INDEX(_xlfn.TEXTSPLIT(E230," "),2))))</f>
        <v>f1</v>
      </c>
      <c r="J230" s="7">
        <v>1</v>
      </c>
      <c r="K230" s="9">
        <v>1</v>
      </c>
      <c r="L230" s="10"/>
      <c r="M230" s="11"/>
      <c r="N230" s="12"/>
      <c r="O230" s="13"/>
      <c r="P230" s="14"/>
      <c r="Q230" s="21"/>
      <c r="R230" s="22"/>
      <c r="S230" s="23"/>
      <c r="T230" s="15"/>
      <c r="U230" s="16"/>
      <c r="W230" t="str">
        <f>IF(G230-J230-SUM(K230:U230),G230-J230-SUM(K230:U230),"")</f>
        <v/>
      </c>
    </row>
    <row r="231" spans="1:23" x14ac:dyDescent="0.2">
      <c r="A231" s="7" t="str">
        <f t="shared" si="3"/>
        <v>acspolymersau/2c00028_f1</v>
      </c>
      <c r="B231" s="7" t="s">
        <v>128</v>
      </c>
      <c r="C231" s="17" t="s">
        <v>208</v>
      </c>
      <c r="D231" s="7" t="s">
        <v>22</v>
      </c>
      <c r="E231" s="7" t="s">
        <v>23</v>
      </c>
      <c r="F231" s="7" t="s">
        <v>33</v>
      </c>
      <c r="G231" s="7">
        <v>4</v>
      </c>
      <c r="H231" s="7" t="str" cm="1">
        <f t="array" ref="H231">INDEX(_xlfn.TEXTSPLIT(INDEX(_xlfn.TEXTSPLIT(C231, "/"), 5), "."), 1)</f>
        <v>acspolymersau</v>
      </c>
      <c r="I231" s="7" t="str" cm="1">
        <f t="array" ref="I231">IF(E231="Abstract","a",LOWER(_xlfn.CONCAT(LEFT(INDEX(_xlfn.TEXTSPLIT(E231," "),1),1),INDEX(_xlfn.TEXTSPLIT(E231," "),2))))</f>
        <v>f1</v>
      </c>
      <c r="J231" s="7">
        <v>3</v>
      </c>
      <c r="K231" s="9"/>
      <c r="L231" s="10"/>
      <c r="M231" s="11">
        <v>1</v>
      </c>
      <c r="N231" s="12"/>
      <c r="O231" s="13"/>
      <c r="P231" s="14"/>
      <c r="Q231" s="21"/>
      <c r="R231" s="22"/>
      <c r="S231" s="23"/>
      <c r="T231" s="15"/>
      <c r="U231" s="16"/>
      <c r="W231" t="str">
        <f>IF(G231-J231-SUM(K231:U231),G231-J231-SUM(K231:U231),"")</f>
        <v/>
      </c>
    </row>
    <row r="232" spans="1:23" x14ac:dyDescent="0.2">
      <c r="A232" s="7" t="str">
        <f t="shared" si="3"/>
        <v>acspolymersau/2c00028_f3</v>
      </c>
      <c r="B232" s="7" t="s">
        <v>128</v>
      </c>
      <c r="C232" s="17" t="s">
        <v>208</v>
      </c>
      <c r="D232" s="7" t="s">
        <v>22</v>
      </c>
      <c r="E232" s="7" t="s">
        <v>44</v>
      </c>
      <c r="F232" s="7" t="s">
        <v>33</v>
      </c>
      <c r="G232" s="7">
        <v>2</v>
      </c>
      <c r="H232" s="7" t="str" cm="1">
        <f t="array" ref="H232">INDEX(_xlfn.TEXTSPLIT(INDEX(_xlfn.TEXTSPLIT(C232, "/"), 5), "."), 1)</f>
        <v>acspolymersau</v>
      </c>
      <c r="I232" s="7" t="str" cm="1">
        <f t="array" ref="I232">IF(E232="Abstract","a",LOWER(_xlfn.CONCAT(LEFT(INDEX(_xlfn.TEXTSPLIT(E232," "),1),1),INDEX(_xlfn.TEXTSPLIT(E232," "),2))))</f>
        <v>f3</v>
      </c>
      <c r="J232" s="7">
        <v>1</v>
      </c>
      <c r="K232" s="9"/>
      <c r="L232" s="10">
        <v>1</v>
      </c>
      <c r="M232" s="11"/>
      <c r="N232" s="12"/>
      <c r="O232" s="13"/>
      <c r="P232" s="14"/>
      <c r="Q232" s="21"/>
      <c r="R232" s="22"/>
      <c r="S232" s="23"/>
      <c r="T232" s="15"/>
      <c r="U232" s="16"/>
      <c r="W232" t="str">
        <f>IF(G232-J232-SUM(K232:U232),G232-J232-SUM(K232:U232),"")</f>
        <v/>
      </c>
    </row>
    <row r="233" spans="1:23" x14ac:dyDescent="0.2">
      <c r="A233" s="7" t="str">
        <f t="shared" si="3"/>
        <v>acspolymersau/2c00028_si_fs10</v>
      </c>
      <c r="B233" s="7" t="s">
        <v>128</v>
      </c>
      <c r="C233" s="17" t="s">
        <v>208</v>
      </c>
      <c r="D233" s="7" t="s">
        <v>134</v>
      </c>
      <c r="E233" s="7" t="s">
        <v>209</v>
      </c>
      <c r="F233" s="7" t="s">
        <v>210</v>
      </c>
      <c r="G233" s="7">
        <v>2</v>
      </c>
      <c r="H233" s="7" t="str" cm="1">
        <f t="array" ref="H233">INDEX(_xlfn.TEXTSPLIT(INDEX(_xlfn.TEXTSPLIT(C233, "/"), 5), "."), 1)</f>
        <v>acspolymersau</v>
      </c>
      <c r="I233" s="7" t="str" cm="1">
        <f t="array" ref="I233">IF(E233="Abstract","a",LOWER(_xlfn.CONCAT(LEFT(INDEX(_xlfn.TEXTSPLIT(E233," "),1),1),INDEX(_xlfn.TEXTSPLIT(E233," "),2))))</f>
        <v>fs10</v>
      </c>
      <c r="J233" s="7">
        <v>2</v>
      </c>
      <c r="K233" s="9"/>
      <c r="L233" s="10"/>
      <c r="M233" s="11"/>
      <c r="N233" s="12"/>
      <c r="O233" s="13"/>
      <c r="P233" s="14"/>
      <c r="Q233" s="21"/>
      <c r="R233" s="22"/>
      <c r="S233" s="23"/>
      <c r="T233" s="15"/>
      <c r="U233" s="16"/>
      <c r="W233" t="str">
        <f>IF(G233-J233-SUM(K233:U233),G233-J233-SUM(K233:U233),"")</f>
        <v/>
      </c>
    </row>
    <row r="234" spans="1:23" x14ac:dyDescent="0.2">
      <c r="A234" s="7" t="str">
        <f t="shared" si="3"/>
        <v>acspolymersau/2c00030_f1</v>
      </c>
      <c r="B234" s="7" t="s">
        <v>128</v>
      </c>
      <c r="C234" s="17" t="s">
        <v>211</v>
      </c>
      <c r="D234" s="7" t="s">
        <v>22</v>
      </c>
      <c r="E234" s="7" t="s">
        <v>23</v>
      </c>
      <c r="F234" s="7" t="s">
        <v>40</v>
      </c>
      <c r="G234" s="7">
        <v>4</v>
      </c>
      <c r="H234" s="7" t="str" cm="1">
        <f t="array" ref="H234">INDEX(_xlfn.TEXTSPLIT(INDEX(_xlfn.TEXTSPLIT(C234, "/"), 5), "."), 1)</f>
        <v>acspolymersau</v>
      </c>
      <c r="I234" s="7" t="str" cm="1">
        <f t="array" ref="I234">IF(E234="Abstract","a",LOWER(_xlfn.CONCAT(LEFT(INDEX(_xlfn.TEXTSPLIT(E234," "),1),1),INDEX(_xlfn.TEXTSPLIT(E234," "),2))))</f>
        <v>f1</v>
      </c>
      <c r="J234" s="7"/>
      <c r="K234" s="9"/>
      <c r="L234" s="10">
        <v>4</v>
      </c>
      <c r="M234" s="11"/>
      <c r="N234" s="12"/>
      <c r="O234" s="13"/>
      <c r="P234" s="14"/>
      <c r="Q234" s="21"/>
      <c r="R234" s="22"/>
      <c r="S234" s="23"/>
      <c r="T234" s="15"/>
      <c r="U234" s="16"/>
      <c r="W234" t="str">
        <f>IF(G234-J234-SUM(K234:U234),G234-J234-SUM(K234:U234),"")</f>
        <v/>
      </c>
    </row>
    <row r="235" spans="1:23" x14ac:dyDescent="0.2">
      <c r="A235" s="7" t="str">
        <f t="shared" si="3"/>
        <v>acspolymersau/2c00030_f2</v>
      </c>
      <c r="B235" s="7" t="s">
        <v>128</v>
      </c>
      <c r="C235" s="17" t="s">
        <v>211</v>
      </c>
      <c r="D235" s="7" t="s">
        <v>22</v>
      </c>
      <c r="E235" s="7" t="s">
        <v>29</v>
      </c>
      <c r="F235" s="7" t="s">
        <v>40</v>
      </c>
      <c r="G235" s="7">
        <v>3</v>
      </c>
      <c r="H235" s="7" t="str" cm="1">
        <f t="array" ref="H235">INDEX(_xlfn.TEXTSPLIT(INDEX(_xlfn.TEXTSPLIT(C235, "/"), 5), "."), 1)</f>
        <v>acspolymersau</v>
      </c>
      <c r="I235" s="7" t="str" cm="1">
        <f t="array" ref="I235">IF(E235="Abstract","a",LOWER(_xlfn.CONCAT(LEFT(INDEX(_xlfn.TEXTSPLIT(E235," "),1),1),INDEX(_xlfn.TEXTSPLIT(E235," "),2))))</f>
        <v>f2</v>
      </c>
      <c r="J235" s="7">
        <v>3</v>
      </c>
      <c r="K235" s="9"/>
      <c r="L235" s="10"/>
      <c r="M235" s="11"/>
      <c r="N235" s="12"/>
      <c r="O235" s="13"/>
      <c r="P235" s="14"/>
      <c r="Q235" s="21"/>
      <c r="R235" s="22"/>
      <c r="S235" s="23"/>
      <c r="T235" s="15"/>
      <c r="U235" s="16"/>
      <c r="W235" t="str">
        <f>IF(G235-J235-SUM(K235:U235),G235-J235-SUM(K235:U235),"")</f>
        <v/>
      </c>
    </row>
    <row r="236" spans="1:23" x14ac:dyDescent="0.2">
      <c r="A236" s="7" t="str">
        <f t="shared" si="3"/>
        <v>acspolymersau/2c00030_si_ps5</v>
      </c>
      <c r="B236" s="7" t="s">
        <v>128</v>
      </c>
      <c r="C236" s="17" t="s">
        <v>211</v>
      </c>
      <c r="D236" s="7" t="s">
        <v>134</v>
      </c>
      <c r="E236" s="7" t="s">
        <v>212</v>
      </c>
      <c r="F236" s="7" t="s">
        <v>210</v>
      </c>
      <c r="G236" s="7">
        <v>1</v>
      </c>
      <c r="H236" s="7" t="str" cm="1">
        <f t="array" ref="H236">INDEX(_xlfn.TEXTSPLIT(INDEX(_xlfn.TEXTSPLIT(C236, "/"), 5), "."), 1)</f>
        <v>acspolymersau</v>
      </c>
      <c r="I236" s="7" t="str" cm="1">
        <f t="array" ref="I236">IF(E236="Abstract","a",LOWER(_xlfn.CONCAT(LEFT(INDEX(_xlfn.TEXTSPLIT(E236," "),1),1),INDEX(_xlfn.TEXTSPLIT(E236," "),2))))</f>
        <v>ps5</v>
      </c>
      <c r="J236" s="7">
        <v>1</v>
      </c>
      <c r="K236" s="9"/>
      <c r="L236" s="10"/>
      <c r="M236" s="11"/>
      <c r="N236" s="12"/>
      <c r="O236" s="13"/>
      <c r="P236" s="14"/>
      <c r="Q236" s="21"/>
      <c r="R236" s="22"/>
      <c r="S236" s="23"/>
      <c r="T236" s="15"/>
      <c r="U236" s="16"/>
      <c r="W236" t="str">
        <f>IF(G236-J236-SUM(K236:U236),G236-J236-SUM(K236:U236),"")</f>
        <v/>
      </c>
    </row>
    <row r="237" spans="1:23" x14ac:dyDescent="0.2">
      <c r="A237" s="7" t="str">
        <f t="shared" si="3"/>
        <v>acspolymersau/2c00030_si_ps6</v>
      </c>
      <c r="B237" s="7" t="s">
        <v>128</v>
      </c>
      <c r="C237" s="17" t="s">
        <v>211</v>
      </c>
      <c r="D237" s="7" t="s">
        <v>134</v>
      </c>
      <c r="E237" s="7" t="s">
        <v>213</v>
      </c>
      <c r="F237" s="7" t="s">
        <v>210</v>
      </c>
      <c r="G237" s="7">
        <v>2</v>
      </c>
      <c r="H237" s="7" t="str" cm="1">
        <f t="array" ref="H237">INDEX(_xlfn.TEXTSPLIT(INDEX(_xlfn.TEXTSPLIT(C237, "/"), 5), "."), 1)</f>
        <v>acspolymersau</v>
      </c>
      <c r="I237" s="7" t="str" cm="1">
        <f t="array" ref="I237">IF(E237="Abstract","a",LOWER(_xlfn.CONCAT(LEFT(INDEX(_xlfn.TEXTSPLIT(E237," "),1),1),INDEX(_xlfn.TEXTSPLIT(E237," "),2))))</f>
        <v>ps6</v>
      </c>
      <c r="J237" s="7">
        <v>2</v>
      </c>
      <c r="K237" s="9"/>
      <c r="L237" s="10"/>
      <c r="M237" s="11"/>
      <c r="N237" s="12"/>
      <c r="O237" s="13"/>
      <c r="P237" s="14"/>
      <c r="Q237" s="21"/>
      <c r="R237" s="22"/>
      <c r="S237" s="23"/>
      <c r="T237" s="15"/>
      <c r="U237" s="16"/>
      <c r="W237" t="str">
        <f>IF(G237-J237-SUM(K237:U237),G237-J237-SUM(K237:U237),"")</f>
        <v/>
      </c>
    </row>
    <row r="238" spans="1:23" x14ac:dyDescent="0.2">
      <c r="A238" s="7" t="str">
        <f t="shared" si="3"/>
        <v>acspolymersau/2c00030_si_ps7</v>
      </c>
      <c r="B238" s="7" t="s">
        <v>128</v>
      </c>
      <c r="C238" s="17" t="s">
        <v>211</v>
      </c>
      <c r="D238" s="7" t="s">
        <v>134</v>
      </c>
      <c r="E238" s="7" t="s">
        <v>214</v>
      </c>
      <c r="F238" s="7" t="s">
        <v>210</v>
      </c>
      <c r="G238" s="7">
        <v>1</v>
      </c>
      <c r="H238" s="7" t="str" cm="1">
        <f t="array" ref="H238">INDEX(_xlfn.TEXTSPLIT(INDEX(_xlfn.TEXTSPLIT(C238, "/"), 5), "."), 1)</f>
        <v>acspolymersau</v>
      </c>
      <c r="I238" s="7" t="str" cm="1">
        <f t="array" ref="I238">IF(E238="Abstract","a",LOWER(_xlfn.CONCAT(LEFT(INDEX(_xlfn.TEXTSPLIT(E238," "),1),1),INDEX(_xlfn.TEXTSPLIT(E238," "),2))))</f>
        <v>ps7</v>
      </c>
      <c r="J238" s="7"/>
      <c r="K238" s="9"/>
      <c r="L238" s="10">
        <v>1</v>
      </c>
      <c r="M238" s="11"/>
      <c r="N238" s="12"/>
      <c r="O238" s="13"/>
      <c r="P238" s="14"/>
      <c r="Q238" s="21"/>
      <c r="R238" s="22"/>
      <c r="S238" s="23"/>
      <c r="T238" s="15"/>
      <c r="U238" s="16"/>
      <c r="W238" t="str">
        <f>IF(G238-J238-SUM(K238:U238),G238-J238-SUM(K238:U238),"")</f>
        <v/>
      </c>
    </row>
    <row r="239" spans="1:23" x14ac:dyDescent="0.2">
      <c r="A239" s="7" t="str">
        <f t="shared" si="3"/>
        <v>acspolymersau/2c00030_si_ps8</v>
      </c>
      <c r="B239" s="7" t="s">
        <v>128</v>
      </c>
      <c r="C239" s="17" t="s">
        <v>211</v>
      </c>
      <c r="D239" s="7" t="s">
        <v>134</v>
      </c>
      <c r="E239" s="7" t="s">
        <v>165</v>
      </c>
      <c r="F239" s="7" t="s">
        <v>210</v>
      </c>
      <c r="G239" s="7">
        <v>1</v>
      </c>
      <c r="H239" s="7" t="str" cm="1">
        <f t="array" ref="H239">INDEX(_xlfn.TEXTSPLIT(INDEX(_xlfn.TEXTSPLIT(C239, "/"), 5), "."), 1)</f>
        <v>acspolymersau</v>
      </c>
      <c r="I239" s="7" t="str" cm="1">
        <f t="array" ref="I239">IF(E239="Abstract","a",LOWER(_xlfn.CONCAT(LEFT(INDEX(_xlfn.TEXTSPLIT(E239," "),1),1),INDEX(_xlfn.TEXTSPLIT(E239," "),2))))</f>
        <v>ps8</v>
      </c>
      <c r="J239" s="7"/>
      <c r="K239" s="9"/>
      <c r="L239" s="10">
        <v>1</v>
      </c>
      <c r="M239" s="11"/>
      <c r="N239" s="12"/>
      <c r="O239" s="13"/>
      <c r="P239" s="14"/>
      <c r="Q239" s="21"/>
      <c r="R239" s="22"/>
      <c r="S239" s="23"/>
      <c r="T239" s="15"/>
      <c r="U239" s="16"/>
      <c r="W239" t="str">
        <f>IF(G239-J239-SUM(K239:U239),G239-J239-SUM(K239:U239),"")</f>
        <v/>
      </c>
    </row>
    <row r="240" spans="1:23" x14ac:dyDescent="0.2">
      <c r="A240" s="7" t="str">
        <f t="shared" si="3"/>
        <v>acspolymersau/2c00032_s1</v>
      </c>
      <c r="B240" s="7" t="s">
        <v>128</v>
      </c>
      <c r="C240" s="17" t="s">
        <v>215</v>
      </c>
      <c r="D240" s="7" t="s">
        <v>22</v>
      </c>
      <c r="E240" s="7" t="s">
        <v>31</v>
      </c>
      <c r="F240" s="7" t="s">
        <v>40</v>
      </c>
      <c r="G240" s="7">
        <v>2</v>
      </c>
      <c r="H240" s="7" t="str" cm="1">
        <f t="array" ref="H240">INDEX(_xlfn.TEXTSPLIT(INDEX(_xlfn.TEXTSPLIT(C240, "/"), 5), "."), 1)</f>
        <v>acspolymersau</v>
      </c>
      <c r="I240" s="7" t="str" cm="1">
        <f t="array" ref="I240">IF(E240="Abstract","a",LOWER(_xlfn.CONCAT(LEFT(INDEX(_xlfn.TEXTSPLIT(E240," "),1),1),INDEX(_xlfn.TEXTSPLIT(E240," "),2))))</f>
        <v>s1</v>
      </c>
      <c r="J240" s="7"/>
      <c r="K240" s="9"/>
      <c r="L240" s="10"/>
      <c r="M240" s="11"/>
      <c r="N240" s="12">
        <v>2</v>
      </c>
      <c r="O240" s="13"/>
      <c r="P240" s="14"/>
      <c r="Q240" s="21"/>
      <c r="R240" s="22"/>
      <c r="S240" s="23"/>
      <c r="T240" s="15"/>
      <c r="U240" s="16"/>
      <c r="W240" t="str">
        <f>IF(G240-J240-SUM(K240:U240),G240-J240-SUM(K240:U240),"")</f>
        <v/>
      </c>
    </row>
    <row r="241" spans="1:23" x14ac:dyDescent="0.2">
      <c r="A241" s="7" t="str">
        <f t="shared" si="3"/>
        <v>acspolymersau/2c00032_s2</v>
      </c>
      <c r="B241" s="7" t="s">
        <v>128</v>
      </c>
      <c r="C241" s="17" t="s">
        <v>215</v>
      </c>
      <c r="D241" s="7" t="s">
        <v>22</v>
      </c>
      <c r="E241" s="7" t="s">
        <v>55</v>
      </c>
      <c r="F241" s="7" t="s">
        <v>40</v>
      </c>
      <c r="G241" s="7">
        <v>2</v>
      </c>
      <c r="H241" s="7" t="str" cm="1">
        <f t="array" ref="H241">INDEX(_xlfn.TEXTSPLIT(INDEX(_xlfn.TEXTSPLIT(C241, "/"), 5), "."), 1)</f>
        <v>acspolymersau</v>
      </c>
      <c r="I241" s="7" t="str" cm="1">
        <f t="array" ref="I241">IF(E241="Abstract","a",LOWER(_xlfn.CONCAT(LEFT(INDEX(_xlfn.TEXTSPLIT(E241," "),1),1),INDEX(_xlfn.TEXTSPLIT(E241," "),2))))</f>
        <v>s2</v>
      </c>
      <c r="J241" s="7"/>
      <c r="K241" s="9"/>
      <c r="L241" s="10"/>
      <c r="M241" s="11">
        <v>1</v>
      </c>
      <c r="N241" s="12">
        <v>1</v>
      </c>
      <c r="O241" s="13"/>
      <c r="P241" s="14"/>
      <c r="Q241" s="21"/>
      <c r="R241" s="22"/>
      <c r="S241" s="23"/>
      <c r="T241" s="15"/>
      <c r="U241" s="16"/>
      <c r="W241" t="str">
        <f>IF(G241-J241-SUM(K241:U241),G241-J241-SUM(K241:U241),"")</f>
        <v/>
      </c>
    </row>
    <row r="242" spans="1:23" x14ac:dyDescent="0.2">
      <c r="A242" s="7" t="str">
        <f t="shared" si="3"/>
        <v>acspolymersau/2c00032_si_ps10</v>
      </c>
      <c r="B242" s="7" t="s">
        <v>128</v>
      </c>
      <c r="C242" s="17" t="s">
        <v>215</v>
      </c>
      <c r="D242" s="7" t="s">
        <v>134</v>
      </c>
      <c r="E242" s="7" t="s">
        <v>164</v>
      </c>
      <c r="F242" s="7" t="s">
        <v>210</v>
      </c>
      <c r="G242" s="7">
        <v>1</v>
      </c>
      <c r="H242" s="7" t="str" cm="1">
        <f t="array" ref="H242">INDEX(_xlfn.TEXTSPLIT(INDEX(_xlfn.TEXTSPLIT(C242, "/"), 5), "."), 1)</f>
        <v>acspolymersau</v>
      </c>
      <c r="I242" s="7" t="str" cm="1">
        <f t="array" ref="I242">IF(E242="Abstract","a",LOWER(_xlfn.CONCAT(LEFT(INDEX(_xlfn.TEXTSPLIT(E242," "),1),1),INDEX(_xlfn.TEXTSPLIT(E242," "),2))))</f>
        <v>ps10</v>
      </c>
      <c r="J242" s="7"/>
      <c r="K242" s="9"/>
      <c r="L242" s="10"/>
      <c r="M242" s="11"/>
      <c r="N242" s="12">
        <v>1</v>
      </c>
      <c r="O242" s="13"/>
      <c r="P242" s="14"/>
      <c r="Q242" s="21"/>
      <c r="R242" s="22"/>
      <c r="S242" s="23"/>
      <c r="T242" s="15"/>
      <c r="U242" s="16"/>
      <c r="W242" t="str">
        <f>IF(G242-J242-SUM(K242:U242),G242-J242-SUM(K242:U242),"")</f>
        <v/>
      </c>
    </row>
    <row r="243" spans="1:23" x14ac:dyDescent="0.2">
      <c r="A243" s="7" t="str">
        <f t="shared" si="3"/>
        <v>acspolymersau/2c00032_si_ps12</v>
      </c>
      <c r="B243" s="7" t="s">
        <v>128</v>
      </c>
      <c r="C243" s="17" t="s">
        <v>215</v>
      </c>
      <c r="D243" s="7" t="s">
        <v>134</v>
      </c>
      <c r="E243" s="7" t="s">
        <v>216</v>
      </c>
      <c r="F243" s="7" t="s">
        <v>210</v>
      </c>
      <c r="G243" s="7">
        <v>1</v>
      </c>
      <c r="H243" s="7" t="str" cm="1">
        <f t="array" ref="H243">INDEX(_xlfn.TEXTSPLIT(INDEX(_xlfn.TEXTSPLIT(C243, "/"), 5), "."), 1)</f>
        <v>acspolymersau</v>
      </c>
      <c r="I243" s="7" t="str" cm="1">
        <f t="array" ref="I243">IF(E243="Abstract","a",LOWER(_xlfn.CONCAT(LEFT(INDEX(_xlfn.TEXTSPLIT(E243," "),1),1),INDEX(_xlfn.TEXTSPLIT(E243," "),2))))</f>
        <v>ps12</v>
      </c>
      <c r="J243" s="7"/>
      <c r="K243" s="9"/>
      <c r="L243" s="10"/>
      <c r="M243" s="11"/>
      <c r="N243" s="12">
        <v>1</v>
      </c>
      <c r="O243" s="13"/>
      <c r="P243" s="14"/>
      <c r="Q243" s="21"/>
      <c r="R243" s="22"/>
      <c r="S243" s="23"/>
      <c r="T243" s="15"/>
      <c r="U243" s="16"/>
      <c r="W243" t="str">
        <f>IF(G243-J243-SUM(K243:U243),G243-J243-SUM(K243:U243),"")</f>
        <v/>
      </c>
    </row>
    <row r="244" spans="1:23" x14ac:dyDescent="0.2">
      <c r="A244" s="7" t="str">
        <f t="shared" si="3"/>
        <v>acspolymersau/2c00032_si_ps8</v>
      </c>
      <c r="B244" s="7" t="s">
        <v>128</v>
      </c>
      <c r="C244" s="17" t="s">
        <v>215</v>
      </c>
      <c r="D244" s="7" t="s">
        <v>134</v>
      </c>
      <c r="E244" s="7" t="s">
        <v>165</v>
      </c>
      <c r="F244" s="7" t="s">
        <v>210</v>
      </c>
      <c r="G244" s="7">
        <v>2</v>
      </c>
      <c r="H244" s="7" t="str" cm="1">
        <f t="array" ref="H244">INDEX(_xlfn.TEXTSPLIT(INDEX(_xlfn.TEXTSPLIT(C244, "/"), 5), "."), 1)</f>
        <v>acspolymersau</v>
      </c>
      <c r="I244" s="7" t="str" cm="1">
        <f t="array" ref="I244">IF(E244="Abstract","a",LOWER(_xlfn.CONCAT(LEFT(INDEX(_xlfn.TEXTSPLIT(E244," "),1),1),INDEX(_xlfn.TEXTSPLIT(E244," "),2))))</f>
        <v>ps8</v>
      </c>
      <c r="J244" s="7"/>
      <c r="K244" s="9"/>
      <c r="L244" s="10"/>
      <c r="M244" s="11"/>
      <c r="N244" s="12">
        <v>2</v>
      </c>
      <c r="O244" s="13"/>
      <c r="P244" s="14"/>
      <c r="Q244" s="21"/>
      <c r="R244" s="22"/>
      <c r="S244" s="23"/>
      <c r="T244" s="15"/>
      <c r="U244" s="16"/>
      <c r="W244" t="str">
        <f>IF(G244-J244-SUM(K244:U244),G244-J244-SUM(K244:U244),"")</f>
        <v/>
      </c>
    </row>
    <row r="245" spans="1:23" x14ac:dyDescent="0.2">
      <c r="A245" s="7" t="str">
        <f t="shared" si="3"/>
        <v>acspolymersau/2c00034_f1</v>
      </c>
      <c r="B245" s="7" t="s">
        <v>128</v>
      </c>
      <c r="C245" s="17" t="s">
        <v>217</v>
      </c>
      <c r="D245" s="7" t="s">
        <v>22</v>
      </c>
      <c r="E245" s="7" t="s">
        <v>23</v>
      </c>
      <c r="F245" s="7" t="s">
        <v>40</v>
      </c>
      <c r="G245" s="7">
        <v>5</v>
      </c>
      <c r="H245" s="7" t="str" cm="1">
        <f t="array" ref="H245">INDEX(_xlfn.TEXTSPLIT(INDEX(_xlfn.TEXTSPLIT(C245, "/"), 5), "."), 1)</f>
        <v>acspolymersau</v>
      </c>
      <c r="I245" s="7" t="str" cm="1">
        <f t="array" ref="I245">IF(E245="Abstract","a",LOWER(_xlfn.CONCAT(LEFT(INDEX(_xlfn.TEXTSPLIT(E245," "),1),1),INDEX(_xlfn.TEXTSPLIT(E245," "),2))))</f>
        <v>f1</v>
      </c>
      <c r="J245" s="2"/>
      <c r="K245" s="9"/>
      <c r="L245" s="10"/>
      <c r="M245" s="11"/>
      <c r="N245" s="12"/>
      <c r="O245" s="13"/>
      <c r="P245" s="14"/>
      <c r="Q245" s="21"/>
      <c r="R245" s="22"/>
      <c r="S245" s="23"/>
      <c r="T245" s="15">
        <v>5</v>
      </c>
      <c r="U245" s="16"/>
      <c r="W245" t="str">
        <f>IF(G245-J245-SUM(K245:U245),G245-J245-SUM(K245:U245),"")</f>
        <v/>
      </c>
    </row>
    <row r="246" spans="1:23" x14ac:dyDescent="0.2">
      <c r="A246" s="7" t="str">
        <f t="shared" si="3"/>
        <v>acspolymersau/2c00035_s1</v>
      </c>
      <c r="B246" s="7" t="s">
        <v>128</v>
      </c>
      <c r="C246" s="17" t="s">
        <v>218</v>
      </c>
      <c r="D246" s="7" t="s">
        <v>22</v>
      </c>
      <c r="E246" s="7" t="s">
        <v>31</v>
      </c>
      <c r="F246" s="7" t="s">
        <v>40</v>
      </c>
      <c r="G246" s="7">
        <v>2</v>
      </c>
      <c r="H246" s="7" t="str" cm="1">
        <f t="array" ref="H246">INDEX(_xlfn.TEXTSPLIT(INDEX(_xlfn.TEXTSPLIT(C246, "/"), 5), "."), 1)</f>
        <v>acspolymersau</v>
      </c>
      <c r="I246" s="7" t="str" cm="1">
        <f t="array" ref="I246">IF(E246="Abstract","a",LOWER(_xlfn.CONCAT(LEFT(INDEX(_xlfn.TEXTSPLIT(E246," "),1),1),INDEX(_xlfn.TEXTSPLIT(E246," "),2))))</f>
        <v>s1</v>
      </c>
      <c r="J246" s="7">
        <v>2</v>
      </c>
      <c r="K246" s="9"/>
      <c r="L246" s="10"/>
      <c r="M246" s="11"/>
      <c r="N246" s="12"/>
      <c r="O246" s="13"/>
      <c r="P246" s="14"/>
      <c r="Q246" s="21"/>
      <c r="R246" s="22"/>
      <c r="S246" s="23"/>
      <c r="T246" s="15"/>
      <c r="U246" s="16"/>
      <c r="W246" t="str">
        <f>IF(G246-J246-SUM(K246:U246),G246-J246-SUM(K246:U246),"")</f>
        <v/>
      </c>
    </row>
    <row r="247" spans="1:23" x14ac:dyDescent="0.2">
      <c r="A247" s="7" t="str">
        <f t="shared" si="3"/>
        <v>acspolymersau/2c00036_f1</v>
      </c>
      <c r="B247" s="7" t="s">
        <v>128</v>
      </c>
      <c r="C247" s="17" t="s">
        <v>219</v>
      </c>
      <c r="D247" s="7" t="s">
        <v>22</v>
      </c>
      <c r="E247" s="7" t="s">
        <v>23</v>
      </c>
      <c r="F247" s="7" t="s">
        <v>40</v>
      </c>
      <c r="G247" s="7">
        <v>1</v>
      </c>
      <c r="H247" s="7" t="str" cm="1">
        <f t="array" ref="H247">INDEX(_xlfn.TEXTSPLIT(INDEX(_xlfn.TEXTSPLIT(C247, "/"), 5), "."), 1)</f>
        <v>acspolymersau</v>
      </c>
      <c r="I247" s="7" t="str" cm="1">
        <f t="array" ref="I247">IF(E247="Abstract","a",LOWER(_xlfn.CONCAT(LEFT(INDEX(_xlfn.TEXTSPLIT(E247," "),1),1),INDEX(_xlfn.TEXTSPLIT(E247," "),2))))</f>
        <v>f1</v>
      </c>
      <c r="J247" s="7">
        <v>1</v>
      </c>
      <c r="K247" s="9"/>
      <c r="L247" s="10"/>
      <c r="M247" s="11"/>
      <c r="N247" s="12"/>
      <c r="O247" s="13"/>
      <c r="P247" s="14"/>
      <c r="Q247" s="21"/>
      <c r="R247" s="22"/>
      <c r="S247" s="23"/>
      <c r="T247" s="15"/>
      <c r="U247" s="16"/>
      <c r="W247" t="str">
        <f>IF(G247-J247-SUM(K247:U247),G247-J247-SUM(K247:U247),"")</f>
        <v/>
      </c>
    </row>
    <row r="248" spans="1:23" x14ac:dyDescent="0.2">
      <c r="A248" s="7" t="str">
        <f t="shared" si="3"/>
        <v>acspolymersau/2c00036_f2</v>
      </c>
      <c r="B248" s="7" t="s">
        <v>128</v>
      </c>
      <c r="C248" s="17" t="s">
        <v>219</v>
      </c>
      <c r="D248" s="7" t="s">
        <v>22</v>
      </c>
      <c r="E248" s="7" t="s">
        <v>29</v>
      </c>
      <c r="F248" s="7" t="s">
        <v>40</v>
      </c>
      <c r="G248" s="7">
        <v>2</v>
      </c>
      <c r="H248" s="7" t="str" cm="1">
        <f t="array" ref="H248">INDEX(_xlfn.TEXTSPLIT(INDEX(_xlfn.TEXTSPLIT(C248, "/"), 5), "."), 1)</f>
        <v>acspolymersau</v>
      </c>
      <c r="I248" s="7" t="str" cm="1">
        <f t="array" ref="I248">IF(E248="Abstract","a",LOWER(_xlfn.CONCAT(LEFT(INDEX(_xlfn.TEXTSPLIT(E248," "),1),1),INDEX(_xlfn.TEXTSPLIT(E248," "),2))))</f>
        <v>f2</v>
      </c>
      <c r="J248" s="7">
        <v>2</v>
      </c>
      <c r="K248" s="9"/>
      <c r="L248" s="10"/>
      <c r="M248" s="11"/>
      <c r="N248" s="12"/>
      <c r="O248" s="13"/>
      <c r="P248" s="14"/>
      <c r="Q248" s="21"/>
      <c r="R248" s="22"/>
      <c r="S248" s="23"/>
      <c r="T248" s="15"/>
      <c r="U248" s="16"/>
      <c r="W248" t="str">
        <f>IF(G248-J248-SUM(K248:U248),G248-J248-SUM(K248:U248),"")</f>
        <v/>
      </c>
    </row>
    <row r="249" spans="1:23" x14ac:dyDescent="0.2">
      <c r="A249" s="7" t="str">
        <f t="shared" si="3"/>
        <v>acspolymersau/2c00036_f3</v>
      </c>
      <c r="B249" s="7" t="s">
        <v>128</v>
      </c>
      <c r="C249" s="17" t="s">
        <v>219</v>
      </c>
      <c r="D249" s="7" t="s">
        <v>22</v>
      </c>
      <c r="E249" s="7" t="s">
        <v>44</v>
      </c>
      <c r="F249" s="7" t="s">
        <v>40</v>
      </c>
      <c r="G249" s="7">
        <v>2</v>
      </c>
      <c r="H249" s="7" t="str" cm="1">
        <f t="array" ref="H249">INDEX(_xlfn.TEXTSPLIT(INDEX(_xlfn.TEXTSPLIT(C249, "/"), 5), "."), 1)</f>
        <v>acspolymersau</v>
      </c>
      <c r="I249" s="7" t="str" cm="1">
        <f t="array" ref="I249">IF(E249="Abstract","a",LOWER(_xlfn.CONCAT(LEFT(INDEX(_xlfn.TEXTSPLIT(E249," "),1),1),INDEX(_xlfn.TEXTSPLIT(E249," "),2))))</f>
        <v>f3</v>
      </c>
      <c r="J249" s="7">
        <v>2</v>
      </c>
      <c r="K249" s="9"/>
      <c r="L249" s="10"/>
      <c r="M249" s="11"/>
      <c r="N249" s="12"/>
      <c r="O249" s="13"/>
      <c r="P249" s="14"/>
      <c r="Q249" s="21"/>
      <c r="R249" s="22"/>
      <c r="S249" s="23"/>
      <c r="T249" s="15"/>
      <c r="U249" s="16"/>
      <c r="W249" t="str">
        <f>IF(G249-J249-SUM(K249:U249),G249-J249-SUM(K249:U249),"")</f>
        <v/>
      </c>
    </row>
    <row r="250" spans="1:23" x14ac:dyDescent="0.2">
      <c r="A250" s="7" t="str">
        <f t="shared" si="3"/>
        <v>acspolymersau/2c00038_s1</v>
      </c>
      <c r="B250" s="7" t="s">
        <v>128</v>
      </c>
      <c r="C250" s="17" t="s">
        <v>220</v>
      </c>
      <c r="D250" s="7" t="s">
        <v>22</v>
      </c>
      <c r="E250" s="7" t="s">
        <v>31</v>
      </c>
      <c r="F250" s="7" t="s">
        <v>40</v>
      </c>
      <c r="G250" s="7">
        <v>2</v>
      </c>
      <c r="H250" s="7" t="str" cm="1">
        <f t="array" ref="H250">INDEX(_xlfn.TEXTSPLIT(INDEX(_xlfn.TEXTSPLIT(C250, "/"), 5), "."), 1)</f>
        <v>acspolymersau</v>
      </c>
      <c r="I250" s="7" t="str" cm="1">
        <f t="array" ref="I250">IF(E250="Abstract","a",LOWER(_xlfn.CONCAT(LEFT(INDEX(_xlfn.TEXTSPLIT(E250," "),1),1),INDEX(_xlfn.TEXTSPLIT(E250," "),2))))</f>
        <v>s1</v>
      </c>
      <c r="J250" s="7">
        <v>1</v>
      </c>
      <c r="K250" s="9">
        <v>1</v>
      </c>
      <c r="L250" s="10"/>
      <c r="M250" s="11"/>
      <c r="N250" s="12"/>
      <c r="O250" s="13"/>
      <c r="P250" s="14"/>
      <c r="Q250" s="21"/>
      <c r="R250" s="22"/>
      <c r="S250" s="23"/>
      <c r="T250" s="15"/>
      <c r="U250" s="16"/>
      <c r="W250" t="str">
        <f>IF(G250-J250-SUM(K250:U250),G250-J250-SUM(K250:U250),"")</f>
        <v/>
      </c>
    </row>
    <row r="251" spans="1:23" x14ac:dyDescent="0.2">
      <c r="A251" s="7" t="str">
        <f t="shared" si="3"/>
        <v>acspolymersau/2c00044_f1</v>
      </c>
      <c r="B251" s="7" t="s">
        <v>128</v>
      </c>
      <c r="C251" s="17" t="s">
        <v>221</v>
      </c>
      <c r="D251" s="7" t="s">
        <v>22</v>
      </c>
      <c r="E251" s="7" t="s">
        <v>23</v>
      </c>
      <c r="F251" s="7" t="s">
        <v>33</v>
      </c>
      <c r="G251" s="7">
        <v>2</v>
      </c>
      <c r="H251" s="7" t="str" cm="1">
        <f t="array" ref="H251">INDEX(_xlfn.TEXTSPLIT(INDEX(_xlfn.TEXTSPLIT(C251, "/"), 5), "."), 1)</f>
        <v>acspolymersau</v>
      </c>
      <c r="I251" s="7" t="str" cm="1">
        <f t="array" ref="I251">IF(E251="Abstract","a",LOWER(_xlfn.CONCAT(LEFT(INDEX(_xlfn.TEXTSPLIT(E251," "),1),1),INDEX(_xlfn.TEXTSPLIT(E251," "),2))))</f>
        <v>f1</v>
      </c>
      <c r="J251" s="7">
        <v>1</v>
      </c>
      <c r="K251" s="9"/>
      <c r="L251" s="10"/>
      <c r="M251" s="11"/>
      <c r="N251" s="12"/>
      <c r="O251" s="13"/>
      <c r="P251" s="14"/>
      <c r="Q251" s="21"/>
      <c r="R251" s="22"/>
      <c r="S251" s="23">
        <v>1</v>
      </c>
      <c r="T251" s="15"/>
      <c r="U251" s="16"/>
      <c r="W251" t="str">
        <f>IF(G251-J251-SUM(K251:U251),G251-J251-SUM(K251:U251),"")</f>
        <v/>
      </c>
    </row>
    <row r="252" spans="1:23" s="6" customFormat="1" x14ac:dyDescent="0.2">
      <c r="A252" s="8" t="str">
        <f t="shared" si="3"/>
        <v>acspolymersau/2c00044_si_fs1</v>
      </c>
      <c r="B252" s="8" t="s">
        <v>128</v>
      </c>
      <c r="C252" s="20" t="s">
        <v>221</v>
      </c>
      <c r="D252" s="8" t="s">
        <v>134</v>
      </c>
      <c r="E252" s="8" t="s">
        <v>198</v>
      </c>
      <c r="F252" s="8" t="s">
        <v>210</v>
      </c>
      <c r="G252" s="8">
        <v>4</v>
      </c>
      <c r="H252" s="8" t="str" cm="1">
        <f t="array" ref="H252">INDEX(_xlfn.TEXTSPLIT(INDEX(_xlfn.TEXTSPLIT(C252, "/"), 5), "."), 1)</f>
        <v>acspolymersau</v>
      </c>
      <c r="I252" s="8" t="str" cm="1">
        <f t="array" ref="I252">IF(E252="Abstract","a",LOWER(_xlfn.CONCAT(LEFT(INDEX(_xlfn.TEXTSPLIT(E252," "),1),1),INDEX(_xlfn.TEXTSPLIT(E252," "),2))))</f>
        <v>fs1</v>
      </c>
      <c r="J252" s="8">
        <v>1</v>
      </c>
      <c r="K252" s="9"/>
      <c r="L252" s="10"/>
      <c r="M252" s="11"/>
      <c r="N252" s="12"/>
      <c r="O252" s="13"/>
      <c r="P252" s="14"/>
      <c r="Q252" s="21"/>
      <c r="R252" s="22"/>
      <c r="S252" s="23">
        <v>3</v>
      </c>
      <c r="T252" s="15"/>
      <c r="U252" s="16"/>
      <c r="W252" s="6" t="str">
        <f>IF(G252-J252-SUM(K252:U252),G252-J252-SUM(K252:U252),"")</f>
        <v/>
      </c>
    </row>
    <row r="253" spans="1:23" x14ac:dyDescent="0.2">
      <c r="A253" s="7" t="str">
        <f t="shared" si="3"/>
        <v>acspolymersau/2c00045_f1</v>
      </c>
      <c r="B253" s="7" t="s">
        <v>128</v>
      </c>
      <c r="C253" s="17" t="s">
        <v>222</v>
      </c>
      <c r="D253" s="7" t="s">
        <v>22</v>
      </c>
      <c r="E253" s="7" t="s">
        <v>23</v>
      </c>
      <c r="F253" s="7" t="s">
        <v>33</v>
      </c>
      <c r="G253" s="7">
        <v>1</v>
      </c>
      <c r="H253" s="7" t="str" cm="1">
        <f t="array" ref="H253">INDEX(_xlfn.TEXTSPLIT(INDEX(_xlfn.TEXTSPLIT(C253, "/"), 5), "."), 1)</f>
        <v>acspolymersau</v>
      </c>
      <c r="I253" s="7" t="str" cm="1">
        <f t="array" ref="I253">IF(E253="Abstract","a",LOWER(_xlfn.CONCAT(LEFT(INDEX(_xlfn.TEXTSPLIT(E253," "),1),1),INDEX(_xlfn.TEXTSPLIT(E253," "),2))))</f>
        <v>f1</v>
      </c>
      <c r="J253" s="7">
        <v>1</v>
      </c>
      <c r="K253" s="9"/>
      <c r="L253" s="10"/>
      <c r="M253" s="11"/>
      <c r="N253" s="12"/>
      <c r="O253" s="13"/>
      <c r="P253" s="14"/>
      <c r="Q253" s="21"/>
      <c r="R253" s="22"/>
      <c r="S253" s="23"/>
      <c r="T253" s="15"/>
      <c r="U253" s="16"/>
      <c r="W253" t="str">
        <f>IF(G253-J253-SUM(K253:U253),G253-J253-SUM(K253:U253),"")</f>
        <v/>
      </c>
    </row>
    <row r="254" spans="1:23" x14ac:dyDescent="0.2">
      <c r="A254" s="7" t="str">
        <f t="shared" si="3"/>
        <v>acspolymersau/2c00045_f6</v>
      </c>
      <c r="B254" s="7" t="s">
        <v>128</v>
      </c>
      <c r="C254" s="17" t="s">
        <v>222</v>
      </c>
      <c r="D254" s="7" t="s">
        <v>22</v>
      </c>
      <c r="E254" s="7" t="s">
        <v>138</v>
      </c>
      <c r="F254" s="7" t="s">
        <v>33</v>
      </c>
      <c r="G254" s="7">
        <v>6</v>
      </c>
      <c r="H254" s="7" t="str" cm="1">
        <f t="array" ref="H254">INDEX(_xlfn.TEXTSPLIT(INDEX(_xlfn.TEXTSPLIT(C254, "/"), 5), "."), 1)</f>
        <v>acspolymersau</v>
      </c>
      <c r="I254" s="7" t="str" cm="1">
        <f t="array" ref="I254">IF(E254="Abstract","a",LOWER(_xlfn.CONCAT(LEFT(INDEX(_xlfn.TEXTSPLIT(E254," "),1),1),INDEX(_xlfn.TEXTSPLIT(E254," "),2))))</f>
        <v>f6</v>
      </c>
      <c r="J254" s="7">
        <v>6</v>
      </c>
      <c r="K254" s="9"/>
      <c r="L254" s="10"/>
      <c r="M254" s="11"/>
      <c r="N254" s="12"/>
      <c r="O254" s="13"/>
      <c r="P254" s="14"/>
      <c r="Q254" s="21"/>
      <c r="R254" s="22"/>
      <c r="S254" s="23"/>
      <c r="T254" s="15"/>
      <c r="U254" s="16"/>
      <c r="W254" t="str">
        <f>IF(G254-J254-SUM(K254:U254),G254-J254-SUM(K254:U254),"")</f>
        <v/>
      </c>
    </row>
    <row r="255" spans="1:23" s="6" customFormat="1" x14ac:dyDescent="0.2">
      <c r="A255" s="8" t="str">
        <f t="shared" si="3"/>
        <v>acspolymersau/2c00045_s1</v>
      </c>
      <c r="B255" s="8" t="s">
        <v>128</v>
      </c>
      <c r="C255" s="20" t="s">
        <v>222</v>
      </c>
      <c r="D255" s="8" t="s">
        <v>22</v>
      </c>
      <c r="E255" s="8" t="s">
        <v>31</v>
      </c>
      <c r="F255" s="8" t="s">
        <v>33</v>
      </c>
      <c r="G255" s="8">
        <v>9</v>
      </c>
      <c r="H255" s="8" t="str" cm="1">
        <f t="array" ref="H255">INDEX(_xlfn.TEXTSPLIT(INDEX(_xlfn.TEXTSPLIT(C255, "/"), 5), "."), 1)</f>
        <v>acspolymersau</v>
      </c>
      <c r="I255" s="8" t="str" cm="1">
        <f t="array" ref="I255">IF(E255="Abstract","a",LOWER(_xlfn.CONCAT(LEFT(INDEX(_xlfn.TEXTSPLIT(E255," "),1),1),INDEX(_xlfn.TEXTSPLIT(E255," "),2))))</f>
        <v>s1</v>
      </c>
      <c r="J255" s="8">
        <v>4</v>
      </c>
      <c r="K255" s="9"/>
      <c r="L255" s="10"/>
      <c r="M255" s="11"/>
      <c r="N255" s="12"/>
      <c r="O255" s="13">
        <v>3</v>
      </c>
      <c r="P255" s="14"/>
      <c r="Q255" s="21">
        <v>1</v>
      </c>
      <c r="R255" s="22"/>
      <c r="S255" s="23"/>
      <c r="T255" s="15">
        <v>1</v>
      </c>
      <c r="U255" s="16"/>
      <c r="W255" s="6" t="str">
        <f>IF(G255-J255-SUM(K255:U255),G255-J255-SUM(K255:U255),"")</f>
        <v/>
      </c>
    </row>
    <row r="256" spans="1:23" s="6" customFormat="1" x14ac:dyDescent="0.2">
      <c r="A256" s="8" t="str">
        <f t="shared" si="3"/>
        <v>acspolymersau/2c00045_si_fs3</v>
      </c>
      <c r="B256" s="8" t="s">
        <v>128</v>
      </c>
      <c r="C256" s="20" t="s">
        <v>222</v>
      </c>
      <c r="D256" s="8" t="s">
        <v>134</v>
      </c>
      <c r="E256" s="8" t="s">
        <v>223</v>
      </c>
      <c r="F256" s="8" t="s">
        <v>210</v>
      </c>
      <c r="G256" s="8">
        <v>1</v>
      </c>
      <c r="H256" s="8" t="str" cm="1">
        <f t="array" ref="H256">INDEX(_xlfn.TEXTSPLIT(INDEX(_xlfn.TEXTSPLIT(C256, "/"), 5), "."), 1)</f>
        <v>acspolymersau</v>
      </c>
      <c r="I256" s="8" t="str" cm="1">
        <f t="array" ref="I256">IF(E256="Abstract","a",LOWER(_xlfn.CONCAT(LEFT(INDEX(_xlfn.TEXTSPLIT(E256," "),1),1),INDEX(_xlfn.TEXTSPLIT(E256," "),2))))</f>
        <v>fs3</v>
      </c>
      <c r="J256" s="8"/>
      <c r="K256" s="9"/>
      <c r="L256" s="10"/>
      <c r="M256" s="11"/>
      <c r="N256" s="12"/>
      <c r="O256" s="13">
        <v>1</v>
      </c>
      <c r="P256" s="14"/>
      <c r="Q256" s="21"/>
      <c r="R256" s="22"/>
      <c r="S256" s="23"/>
      <c r="T256" s="15"/>
      <c r="U256" s="16"/>
      <c r="W256" s="6" t="str">
        <f>IF(G256-J256-SUM(K256:U256),G256-J256-SUM(K256:U256),"")</f>
        <v/>
      </c>
    </row>
    <row r="257" spans="1:23" s="6" customFormat="1" x14ac:dyDescent="0.2">
      <c r="A257" s="8" t="str">
        <f t="shared" si="3"/>
        <v>acspolymersau/2c00045_si_fs4</v>
      </c>
      <c r="B257" s="8" t="s">
        <v>128</v>
      </c>
      <c r="C257" s="20" t="s">
        <v>222</v>
      </c>
      <c r="D257" s="8" t="s">
        <v>134</v>
      </c>
      <c r="E257" s="8" t="s">
        <v>224</v>
      </c>
      <c r="F257" s="8" t="s">
        <v>210</v>
      </c>
      <c r="G257" s="8">
        <v>2</v>
      </c>
      <c r="H257" s="8" t="str" cm="1">
        <f t="array" ref="H257">INDEX(_xlfn.TEXTSPLIT(INDEX(_xlfn.TEXTSPLIT(C257, "/"), 5), "."), 1)</f>
        <v>acspolymersau</v>
      </c>
      <c r="I257" s="8" t="str" cm="1">
        <f t="array" ref="I257">IF(E257="Abstract","a",LOWER(_xlfn.CONCAT(LEFT(INDEX(_xlfn.TEXTSPLIT(E257," "),1),1),INDEX(_xlfn.TEXTSPLIT(E257," "),2))))</f>
        <v>fs4</v>
      </c>
      <c r="J257" s="8">
        <v>1</v>
      </c>
      <c r="K257" s="9"/>
      <c r="L257" s="10"/>
      <c r="M257" s="11"/>
      <c r="N257" s="12"/>
      <c r="O257" s="13">
        <v>1</v>
      </c>
      <c r="P257" s="14"/>
      <c r="Q257" s="21"/>
      <c r="R257" s="22"/>
      <c r="S257" s="23"/>
      <c r="T257" s="15"/>
      <c r="U257" s="16"/>
      <c r="W257" s="6" t="str">
        <f>IF(G257-J257-SUM(K257:U257),G257-J257-SUM(K257:U257),"")</f>
        <v/>
      </c>
    </row>
    <row r="258" spans="1:23" x14ac:dyDescent="0.2">
      <c r="A258" s="7" t="str">
        <f t="shared" si="3"/>
        <v>acspolymersau/2c00047_si_fs19</v>
      </c>
      <c r="B258" s="7" t="s">
        <v>128</v>
      </c>
      <c r="C258" s="17" t="s">
        <v>225</v>
      </c>
      <c r="D258" s="7" t="s">
        <v>134</v>
      </c>
      <c r="E258" s="7" t="s">
        <v>192</v>
      </c>
      <c r="F258" s="7" t="s">
        <v>210</v>
      </c>
      <c r="G258" s="7">
        <v>1</v>
      </c>
      <c r="H258" s="7" t="str" cm="1">
        <f t="array" ref="H258">INDEX(_xlfn.TEXTSPLIT(INDEX(_xlfn.TEXTSPLIT(C258, "/"), 5), "."), 1)</f>
        <v>acspolymersau</v>
      </c>
      <c r="I258" s="7" t="str" cm="1">
        <f t="array" ref="I258">IF(E258="Abstract","a",LOWER(_xlfn.CONCAT(LEFT(INDEX(_xlfn.TEXTSPLIT(E258," "),1),1),INDEX(_xlfn.TEXTSPLIT(E258," "),2))))</f>
        <v>fs19</v>
      </c>
      <c r="J258" s="7">
        <v>1</v>
      </c>
      <c r="K258" s="9"/>
      <c r="L258" s="10"/>
      <c r="M258" s="11"/>
      <c r="N258" s="12"/>
      <c r="O258" s="13"/>
      <c r="P258" s="14"/>
      <c r="Q258" s="21"/>
      <c r="R258" s="22"/>
      <c r="S258" s="23"/>
      <c r="T258" s="15"/>
      <c r="U258" s="16"/>
      <c r="W258" t="str">
        <f>IF(G258-J258-SUM(K258:U258),G258-J258-SUM(K258:U258),"")</f>
        <v/>
      </c>
    </row>
    <row r="259" spans="1:23" x14ac:dyDescent="0.2">
      <c r="A259" s="7" t="str">
        <f t="shared" ref="A259:A321" si="4">_xlfn.CONCAT(H259, "/",RIGHT(C259,7),"_",IF(D259="SI","si_",""), I259)</f>
        <v>acspolymersau/2c00047_si_fs2</v>
      </c>
      <c r="B259" s="7" t="s">
        <v>128</v>
      </c>
      <c r="C259" s="17" t="s">
        <v>225</v>
      </c>
      <c r="D259" s="7" t="s">
        <v>134</v>
      </c>
      <c r="E259" s="2" t="s">
        <v>140</v>
      </c>
      <c r="F259" s="2" t="s">
        <v>210</v>
      </c>
      <c r="G259" s="2">
        <v>3</v>
      </c>
      <c r="H259" s="2" t="str" cm="1">
        <f t="array" ref="H259">INDEX(_xlfn.TEXTSPLIT(INDEX(_xlfn.TEXTSPLIT(C259, "/"), 5), "."), 1)</f>
        <v>acspolymersau</v>
      </c>
      <c r="I259" s="2" t="str" cm="1">
        <f t="array" ref="I259">IF(E259="Abstract","a",LOWER(_xlfn.CONCAT(LEFT(INDEX(_xlfn.TEXTSPLIT(E259," "),1),1),INDEX(_xlfn.TEXTSPLIT(E259," "),2))))</f>
        <v>fs2</v>
      </c>
      <c r="J259" s="7">
        <v>3</v>
      </c>
      <c r="K259" s="9"/>
      <c r="L259" s="10"/>
      <c r="M259" s="11"/>
      <c r="N259" s="12"/>
      <c r="O259" s="13"/>
      <c r="P259" s="14"/>
      <c r="Q259" s="21"/>
      <c r="R259" s="22"/>
      <c r="S259" s="23"/>
      <c r="T259" s="15"/>
      <c r="U259" s="16"/>
      <c r="W259" t="str">
        <f>IF(G259-J259-SUM(K259:U259),G259-J259-SUM(K259:U259),"")</f>
        <v/>
      </c>
    </row>
    <row r="260" spans="1:23" x14ac:dyDescent="0.2">
      <c r="A260" s="7" t="str">
        <f t="shared" si="4"/>
        <v>acspolymersau/2c00051_s1</v>
      </c>
      <c r="B260" s="7" t="s">
        <v>128</v>
      </c>
      <c r="C260" s="17" t="s">
        <v>226</v>
      </c>
      <c r="D260" s="7" t="s">
        <v>22</v>
      </c>
      <c r="E260" s="7" t="s">
        <v>31</v>
      </c>
      <c r="F260" s="7" t="s">
        <v>33</v>
      </c>
      <c r="G260" s="7">
        <v>2</v>
      </c>
      <c r="H260" s="7" t="str" cm="1">
        <f t="array" ref="H260">INDEX(_xlfn.TEXTSPLIT(INDEX(_xlfn.TEXTSPLIT(C260, "/"), 5), "."), 1)</f>
        <v>acspolymersau</v>
      </c>
      <c r="I260" s="7" t="str" cm="1">
        <f t="array" ref="I260">IF(E260="Abstract","a",LOWER(_xlfn.CONCAT(LEFT(INDEX(_xlfn.TEXTSPLIT(E260," "),1),1),INDEX(_xlfn.TEXTSPLIT(E260," "),2))))</f>
        <v>s1</v>
      </c>
      <c r="J260" s="7"/>
      <c r="K260" s="9"/>
      <c r="L260" s="10"/>
      <c r="M260" s="11"/>
      <c r="N260" s="12"/>
      <c r="O260" s="13"/>
      <c r="P260" s="14"/>
      <c r="Q260" s="21"/>
      <c r="R260" s="22">
        <v>2</v>
      </c>
      <c r="S260" s="23"/>
      <c r="T260" s="15"/>
      <c r="U260" s="16"/>
      <c r="W260" t="str">
        <f>IF(G260-J260-SUM(K260:U260),G260-J260-SUM(K260:U260),"")</f>
        <v/>
      </c>
    </row>
    <row r="261" spans="1:23" x14ac:dyDescent="0.2">
      <c r="A261" s="7" t="str">
        <f t="shared" si="4"/>
        <v>acspolymersau/2c00060_f2</v>
      </c>
      <c r="B261" s="7" t="s">
        <v>128</v>
      </c>
      <c r="C261" s="17" t="s">
        <v>227</v>
      </c>
      <c r="D261" s="7" t="s">
        <v>22</v>
      </c>
      <c r="E261" s="7" t="s">
        <v>29</v>
      </c>
      <c r="F261" s="7" t="s">
        <v>40</v>
      </c>
      <c r="G261" s="7">
        <v>1</v>
      </c>
      <c r="H261" s="7" t="str" cm="1">
        <f t="array" ref="H261">INDEX(_xlfn.TEXTSPLIT(INDEX(_xlfn.TEXTSPLIT(C261, "/"), 5), "."), 1)</f>
        <v>acspolymersau</v>
      </c>
      <c r="I261" s="7" t="str" cm="1">
        <f t="array" ref="I261">IF(E261="Abstract","a",LOWER(_xlfn.CONCAT(LEFT(INDEX(_xlfn.TEXTSPLIT(E261," "),1),1),INDEX(_xlfn.TEXTSPLIT(E261," "),2))))</f>
        <v>f2</v>
      </c>
      <c r="J261" s="7">
        <v>1</v>
      </c>
      <c r="K261" s="9"/>
      <c r="L261" s="10"/>
      <c r="M261" s="11"/>
      <c r="N261" s="12"/>
      <c r="O261" s="13"/>
      <c r="P261" s="14"/>
      <c r="Q261" s="21"/>
      <c r="R261" s="22"/>
      <c r="S261" s="23"/>
      <c r="T261" s="15"/>
      <c r="U261" s="16"/>
      <c r="W261" t="str">
        <f>IF(G261-J261-SUM(K261:U261),G261-J261-SUM(K261:U261),"")</f>
        <v/>
      </c>
    </row>
    <row r="262" spans="1:23" x14ac:dyDescent="0.2">
      <c r="A262" s="7" t="str">
        <f t="shared" si="4"/>
        <v>acspolymersau/2c00060_f3</v>
      </c>
      <c r="B262" s="7" t="s">
        <v>128</v>
      </c>
      <c r="C262" s="17" t="s">
        <v>227</v>
      </c>
      <c r="D262" s="7" t="s">
        <v>22</v>
      </c>
      <c r="E262" s="7" t="s">
        <v>44</v>
      </c>
      <c r="F262" s="7" t="s">
        <v>40</v>
      </c>
      <c r="G262" s="7">
        <v>8</v>
      </c>
      <c r="H262" s="7" t="str" cm="1">
        <f t="array" ref="H262">INDEX(_xlfn.TEXTSPLIT(INDEX(_xlfn.TEXTSPLIT(C262, "/"), 5), "."), 1)</f>
        <v>acspolymersau</v>
      </c>
      <c r="I262" s="7" t="str" cm="1">
        <f t="array" ref="I262">IF(E262="Abstract","a",LOWER(_xlfn.CONCAT(LEFT(INDEX(_xlfn.TEXTSPLIT(E262," "),1),1),INDEX(_xlfn.TEXTSPLIT(E262," "),2))))</f>
        <v>f3</v>
      </c>
      <c r="J262" s="7">
        <v>8</v>
      </c>
      <c r="K262" s="9"/>
      <c r="L262" s="10"/>
      <c r="M262" s="11"/>
      <c r="N262" s="12"/>
      <c r="O262" s="13"/>
      <c r="P262" s="14"/>
      <c r="Q262" s="21"/>
      <c r="R262" s="22"/>
      <c r="S262" s="23"/>
      <c r="T262" s="15"/>
      <c r="U262" s="16"/>
      <c r="W262" t="str">
        <f>IF(G262-J262-SUM(K262:U262),G262-J262-SUM(K262:U262),"")</f>
        <v/>
      </c>
    </row>
    <row r="263" spans="1:23" x14ac:dyDescent="0.2">
      <c r="A263" s="7" t="str">
        <f t="shared" si="4"/>
        <v>acspolymersau/2c00060_f5</v>
      </c>
      <c r="B263" s="7" t="s">
        <v>128</v>
      </c>
      <c r="C263" s="17" t="s">
        <v>227</v>
      </c>
      <c r="D263" s="7" t="s">
        <v>22</v>
      </c>
      <c r="E263" s="7" t="s">
        <v>80</v>
      </c>
      <c r="F263" s="7" t="s">
        <v>40</v>
      </c>
      <c r="G263" s="7">
        <v>1</v>
      </c>
      <c r="H263" s="7" t="str" cm="1">
        <f t="array" ref="H263">INDEX(_xlfn.TEXTSPLIT(INDEX(_xlfn.TEXTSPLIT(C263, "/"), 5), "."), 1)</f>
        <v>acspolymersau</v>
      </c>
      <c r="I263" s="7" t="str" cm="1">
        <f t="array" ref="I263">IF(E263="Abstract","a",LOWER(_xlfn.CONCAT(LEFT(INDEX(_xlfn.TEXTSPLIT(E263," "),1),1),INDEX(_xlfn.TEXTSPLIT(E263," "),2))))</f>
        <v>f5</v>
      </c>
      <c r="J263" s="7">
        <v>1</v>
      </c>
      <c r="K263" s="9"/>
      <c r="L263" s="10"/>
      <c r="M263" s="11"/>
      <c r="N263" s="12"/>
      <c r="O263" s="13"/>
      <c r="P263" s="14"/>
      <c r="Q263" s="21"/>
      <c r="R263" s="22"/>
      <c r="S263" s="23"/>
      <c r="T263" s="15"/>
      <c r="U263" s="16"/>
      <c r="W263" t="str">
        <f>IF(G263-J263-SUM(K263:U263),G263-J263-SUM(K263:U263),"")</f>
        <v/>
      </c>
    </row>
    <row r="264" spans="1:23" x14ac:dyDescent="0.2">
      <c r="A264" s="7" t="str">
        <f t="shared" si="4"/>
        <v>acspolymersau/2c00060_si_ps6</v>
      </c>
      <c r="B264" s="7" t="s">
        <v>128</v>
      </c>
      <c r="C264" s="17" t="s">
        <v>227</v>
      </c>
      <c r="D264" s="7" t="s">
        <v>134</v>
      </c>
      <c r="E264" s="7" t="s">
        <v>213</v>
      </c>
      <c r="F264" s="7" t="s">
        <v>210</v>
      </c>
      <c r="G264" s="7">
        <v>1</v>
      </c>
      <c r="H264" s="7" t="str" cm="1">
        <f t="array" ref="H264">INDEX(_xlfn.TEXTSPLIT(INDEX(_xlfn.TEXTSPLIT(C264, "/"), 5), "."), 1)</f>
        <v>acspolymersau</v>
      </c>
      <c r="I264" s="7" t="str" cm="1">
        <f t="array" ref="I264">IF(E264="Abstract","a",LOWER(_xlfn.CONCAT(LEFT(INDEX(_xlfn.TEXTSPLIT(E264," "),1),1),INDEX(_xlfn.TEXTSPLIT(E264," "),2))))</f>
        <v>ps6</v>
      </c>
      <c r="J264" s="7">
        <v>1</v>
      </c>
      <c r="K264" s="9"/>
      <c r="L264" s="10"/>
      <c r="M264" s="11"/>
      <c r="N264" s="12"/>
      <c r="O264" s="13"/>
      <c r="P264" s="14"/>
      <c r="Q264" s="21"/>
      <c r="R264" s="22"/>
      <c r="S264" s="23"/>
      <c r="T264" s="15"/>
      <c r="U264" s="16"/>
      <c r="W264" t="str">
        <f>IF(G264-J264-SUM(K264:U264),G264-J264-SUM(K264:U264),"")</f>
        <v/>
      </c>
    </row>
    <row r="265" spans="1:23" x14ac:dyDescent="0.2">
      <c r="A265" s="7" t="str">
        <f t="shared" si="4"/>
        <v>acspolymersau/2c00066_f1</v>
      </c>
      <c r="B265" s="7" t="s">
        <v>128</v>
      </c>
      <c r="C265" s="17" t="s">
        <v>228</v>
      </c>
      <c r="D265" s="7" t="s">
        <v>22</v>
      </c>
      <c r="E265" s="8" t="s">
        <v>23</v>
      </c>
      <c r="F265" s="7" t="s">
        <v>40</v>
      </c>
      <c r="G265" s="7">
        <v>1</v>
      </c>
      <c r="H265" s="7" t="str" cm="1">
        <f t="array" ref="H265">INDEX(_xlfn.TEXTSPLIT(INDEX(_xlfn.TEXTSPLIT(C265, "/"), 5), "."), 1)</f>
        <v>acspolymersau</v>
      </c>
      <c r="I265" s="7" t="str" cm="1">
        <f t="array" ref="I265">IF(E265="Abstract","a",LOWER(_xlfn.CONCAT(LEFT(INDEX(_xlfn.TEXTSPLIT(E265," "),1),1),INDEX(_xlfn.TEXTSPLIT(E265," "),2))))</f>
        <v>f1</v>
      </c>
      <c r="J265" s="1"/>
      <c r="K265" s="9"/>
      <c r="L265" s="10">
        <v>1</v>
      </c>
      <c r="M265" s="11"/>
      <c r="N265" s="12"/>
      <c r="O265" s="13"/>
      <c r="P265" s="14"/>
      <c r="Q265" s="21"/>
      <c r="R265" s="22"/>
      <c r="S265" s="23"/>
      <c r="T265" s="15"/>
      <c r="U265" s="16"/>
      <c r="W265" t="str">
        <f>IF(G265-J265-SUM(K265:U265),G265-J265-SUM(K265:U265),"")</f>
        <v/>
      </c>
    </row>
    <row r="266" spans="1:23" x14ac:dyDescent="0.2">
      <c r="A266" s="7" t="str">
        <f t="shared" si="4"/>
        <v>acspolymersau/2c00066_si_fs1</v>
      </c>
      <c r="B266" s="7" t="s">
        <v>128</v>
      </c>
      <c r="C266" s="17" t="s">
        <v>228</v>
      </c>
      <c r="D266" s="7" t="s">
        <v>134</v>
      </c>
      <c r="E266" s="8" t="s">
        <v>198</v>
      </c>
      <c r="F266" s="7" t="s">
        <v>210</v>
      </c>
      <c r="G266" s="7">
        <v>2</v>
      </c>
      <c r="H266" s="7" t="str" cm="1">
        <f t="array" ref="H266">INDEX(_xlfn.TEXTSPLIT(INDEX(_xlfn.TEXTSPLIT(C266, "/"), 5), "."), 1)</f>
        <v>acspolymersau</v>
      </c>
      <c r="I266" s="7" t="str" cm="1">
        <f t="array" ref="I266">IF(E266="Abstract","a",LOWER(_xlfn.CONCAT(LEFT(INDEX(_xlfn.TEXTSPLIT(E266," "),1),1),INDEX(_xlfn.TEXTSPLIT(E266," "),2))))</f>
        <v>fs1</v>
      </c>
      <c r="J266" s="1"/>
      <c r="K266" s="9"/>
      <c r="L266" s="10">
        <v>2</v>
      </c>
      <c r="M266" s="11"/>
      <c r="N266" s="12"/>
      <c r="O266" s="13"/>
      <c r="P266" s="14"/>
      <c r="Q266" s="21"/>
      <c r="R266" s="22"/>
      <c r="S266" s="23"/>
      <c r="T266" s="15"/>
      <c r="U266" s="16"/>
      <c r="W266" t="str">
        <f>IF(G266-J266-SUM(K266:U266),G266-J266-SUM(K266:U266),"")</f>
        <v/>
      </c>
    </row>
    <row r="267" spans="1:23" s="6" customFormat="1" x14ac:dyDescent="0.2">
      <c r="A267" s="8" t="str">
        <f t="shared" si="4"/>
        <v>acspolymersau/2c00068_si_fs1</v>
      </c>
      <c r="B267" s="8" t="s">
        <v>128</v>
      </c>
      <c r="C267" s="20" t="s">
        <v>229</v>
      </c>
      <c r="D267" s="8" t="s">
        <v>134</v>
      </c>
      <c r="E267" s="8" t="s">
        <v>198</v>
      </c>
      <c r="F267" s="8" t="s">
        <v>210</v>
      </c>
      <c r="G267" s="8">
        <v>3</v>
      </c>
      <c r="H267" s="8" t="str" cm="1">
        <f t="array" ref="H267">INDEX(_xlfn.TEXTSPLIT(INDEX(_xlfn.TEXTSPLIT(C267, "/"), 5), "."), 1)</f>
        <v>acspolymersau</v>
      </c>
      <c r="I267" s="8" t="str" cm="1">
        <f t="array" ref="I267">IF(E267="Abstract","a",LOWER(_xlfn.CONCAT(LEFT(INDEX(_xlfn.TEXTSPLIT(E267," "),1),1),INDEX(_xlfn.TEXTSPLIT(E267," "),2))))</f>
        <v>fs1</v>
      </c>
      <c r="J267" s="8">
        <v>2</v>
      </c>
      <c r="K267" s="9"/>
      <c r="L267" s="10"/>
      <c r="M267" s="11">
        <v>1</v>
      </c>
      <c r="N267" s="12"/>
      <c r="O267" s="13"/>
      <c r="P267" s="14"/>
      <c r="Q267" s="21"/>
      <c r="R267" s="22"/>
      <c r="S267" s="23"/>
      <c r="T267" s="15"/>
      <c r="U267" s="16"/>
      <c r="W267" s="6" t="str">
        <f>IF(G267-J267-SUM(K267:U267),G267-J267-SUM(K267:U267),"")</f>
        <v/>
      </c>
    </row>
    <row r="268" spans="1:23" x14ac:dyDescent="0.2">
      <c r="A268" s="7" t="str">
        <f t="shared" si="4"/>
        <v>acspolymersau/2c00068_si_fs2</v>
      </c>
      <c r="B268" s="7" t="s">
        <v>128</v>
      </c>
      <c r="C268" s="17" t="s">
        <v>229</v>
      </c>
      <c r="D268" s="7" t="s">
        <v>134</v>
      </c>
      <c r="E268" s="7" t="s">
        <v>140</v>
      </c>
      <c r="F268" s="7" t="s">
        <v>210</v>
      </c>
      <c r="G268" s="7">
        <v>3</v>
      </c>
      <c r="H268" s="7" t="str" cm="1">
        <f t="array" ref="H268">INDEX(_xlfn.TEXTSPLIT(INDEX(_xlfn.TEXTSPLIT(C268, "/"), 5), "."), 1)</f>
        <v>acspolymersau</v>
      </c>
      <c r="I268" s="7" t="str" cm="1">
        <f t="array" ref="I268">IF(E268="Abstract","a",LOWER(_xlfn.CONCAT(LEFT(INDEX(_xlfn.TEXTSPLIT(E268," "),1),1),INDEX(_xlfn.TEXTSPLIT(E268," "),2))))</f>
        <v>fs2</v>
      </c>
      <c r="J268" s="7">
        <v>1</v>
      </c>
      <c r="K268" s="9">
        <v>1</v>
      </c>
      <c r="L268" s="10"/>
      <c r="M268" s="11">
        <v>1</v>
      </c>
      <c r="N268" s="12"/>
      <c r="O268" s="13"/>
      <c r="P268" s="14"/>
      <c r="Q268" s="21"/>
      <c r="R268" s="22"/>
      <c r="S268" s="23"/>
      <c r="T268" s="15"/>
      <c r="U268" s="16"/>
      <c r="W268" t="str">
        <f>IF(G268-J268-SUM(K268:U268),G268-J268-SUM(K268:U268),"")</f>
        <v/>
      </c>
    </row>
    <row r="269" spans="1:23" x14ac:dyDescent="0.2">
      <c r="A269" s="7" t="str">
        <f t="shared" si="4"/>
        <v>acspolymersau/2c00068_si_fs3</v>
      </c>
      <c r="B269" s="7" t="s">
        <v>128</v>
      </c>
      <c r="C269" s="17" t="s">
        <v>229</v>
      </c>
      <c r="D269" s="7" t="s">
        <v>134</v>
      </c>
      <c r="E269" s="7" t="s">
        <v>223</v>
      </c>
      <c r="F269" s="7" t="s">
        <v>210</v>
      </c>
      <c r="G269" s="7">
        <v>2</v>
      </c>
      <c r="H269" s="7" t="str" cm="1">
        <f t="array" ref="H269">INDEX(_xlfn.TEXTSPLIT(INDEX(_xlfn.TEXTSPLIT(C269, "/"), 5), "."), 1)</f>
        <v>acspolymersau</v>
      </c>
      <c r="I269" s="7" t="str" cm="1">
        <f t="array" ref="I269">IF(E269="Abstract","a",LOWER(_xlfn.CONCAT(LEFT(INDEX(_xlfn.TEXTSPLIT(E269," "),1),1),INDEX(_xlfn.TEXTSPLIT(E269," "),2))))</f>
        <v>fs3</v>
      </c>
      <c r="J269" s="7"/>
      <c r="K269" s="9">
        <v>1</v>
      </c>
      <c r="L269" s="10"/>
      <c r="M269" s="11">
        <v>1</v>
      </c>
      <c r="N269" s="12"/>
      <c r="O269" s="13"/>
      <c r="P269" s="14"/>
      <c r="Q269" s="21"/>
      <c r="R269" s="22"/>
      <c r="S269" s="23"/>
      <c r="T269" s="15"/>
      <c r="U269" s="16"/>
      <c r="W269" t="str">
        <f>IF(G269-J269-SUM(K269:U269),G269-J269-SUM(K269:U269),"")</f>
        <v/>
      </c>
    </row>
    <row r="270" spans="1:23" x14ac:dyDescent="0.2">
      <c r="A270" s="7" t="str">
        <f t="shared" si="4"/>
        <v>acspolymersau/2c00069_f1</v>
      </c>
      <c r="B270" s="7" t="s">
        <v>128</v>
      </c>
      <c r="C270" s="17" t="s">
        <v>230</v>
      </c>
      <c r="D270" s="7" t="s">
        <v>22</v>
      </c>
      <c r="E270" s="7" t="s">
        <v>23</v>
      </c>
      <c r="F270" s="7" t="s">
        <v>40</v>
      </c>
      <c r="G270" s="7">
        <v>1</v>
      </c>
      <c r="H270" s="7" t="str" cm="1">
        <f t="array" ref="H270">INDEX(_xlfn.TEXTSPLIT(INDEX(_xlfn.TEXTSPLIT(C270, "/"), 5), "."), 1)</f>
        <v>acspolymersau</v>
      </c>
      <c r="I270" s="7" t="str" cm="1">
        <f t="array" ref="I270">IF(E270="Abstract","a",LOWER(_xlfn.CONCAT(LEFT(INDEX(_xlfn.TEXTSPLIT(E270," "),1),1),INDEX(_xlfn.TEXTSPLIT(E270," "),2))))</f>
        <v>f1</v>
      </c>
      <c r="J270" s="7">
        <v>1</v>
      </c>
      <c r="K270" s="9"/>
      <c r="L270" s="10"/>
      <c r="M270" s="11"/>
      <c r="N270" s="12"/>
      <c r="O270" s="13"/>
      <c r="P270" s="14"/>
      <c r="Q270" s="21"/>
      <c r="R270" s="22"/>
      <c r="S270" s="23"/>
      <c r="T270" s="15"/>
      <c r="U270" s="16"/>
      <c r="W270" t="str">
        <f>IF(G270-J270-SUM(K270:U270),G270-J270-SUM(K270:U270),"")</f>
        <v/>
      </c>
    </row>
    <row r="271" spans="1:23" x14ac:dyDescent="0.2">
      <c r="A271" s="7" t="str">
        <f t="shared" si="4"/>
        <v>acspolymersau/3c00003_f1</v>
      </c>
      <c r="B271" s="7" t="s">
        <v>128</v>
      </c>
      <c r="C271" s="17" t="s">
        <v>231</v>
      </c>
      <c r="D271" s="7" t="s">
        <v>22</v>
      </c>
      <c r="E271" s="7" t="s">
        <v>23</v>
      </c>
      <c r="F271" s="7" t="s">
        <v>40</v>
      </c>
      <c r="G271" s="7">
        <v>5</v>
      </c>
      <c r="H271" s="7" t="str" cm="1">
        <f t="array" ref="H271">INDEX(_xlfn.TEXTSPLIT(INDEX(_xlfn.TEXTSPLIT(C271, "/"), 5), "."), 1)</f>
        <v>acspolymersau</v>
      </c>
      <c r="I271" s="7" t="str" cm="1">
        <f t="array" ref="I271">IF(E271="Abstract","a",LOWER(_xlfn.CONCAT(LEFT(INDEX(_xlfn.TEXTSPLIT(E271," "),1),1),INDEX(_xlfn.TEXTSPLIT(E271," "),2))))</f>
        <v>f1</v>
      </c>
      <c r="J271" s="7">
        <v>5</v>
      </c>
      <c r="K271" s="9"/>
      <c r="L271" s="10"/>
      <c r="M271" s="11"/>
      <c r="N271" s="12"/>
      <c r="O271" s="13"/>
      <c r="P271" s="14"/>
      <c r="Q271" s="21"/>
      <c r="R271" s="22"/>
      <c r="S271" s="23"/>
      <c r="T271" s="15"/>
      <c r="U271" s="16"/>
      <c r="W271" t="str">
        <f>IF(G271-J271-SUM(K271:U271),G271-J271-SUM(K271:U271),"")</f>
        <v/>
      </c>
    </row>
    <row r="272" spans="1:23" x14ac:dyDescent="0.2">
      <c r="A272" s="7" t="str">
        <f t="shared" si="4"/>
        <v>acspolymersau/3c00003_f2</v>
      </c>
      <c r="B272" s="7" t="s">
        <v>128</v>
      </c>
      <c r="C272" s="17" t="s">
        <v>231</v>
      </c>
      <c r="D272" s="7" t="s">
        <v>22</v>
      </c>
      <c r="E272" s="7" t="s">
        <v>29</v>
      </c>
      <c r="F272" s="7" t="s">
        <v>40</v>
      </c>
      <c r="G272" s="7">
        <v>12</v>
      </c>
      <c r="H272" s="7" t="str" cm="1">
        <f t="array" ref="H272">INDEX(_xlfn.TEXTSPLIT(INDEX(_xlfn.TEXTSPLIT(C272, "/"), 5), "."), 1)</f>
        <v>acspolymersau</v>
      </c>
      <c r="I272" s="7" t="str" cm="1">
        <f t="array" ref="I272">IF(E272="Abstract","a",LOWER(_xlfn.CONCAT(LEFT(INDEX(_xlfn.TEXTSPLIT(E272," "),1),1),INDEX(_xlfn.TEXTSPLIT(E272," "),2))))</f>
        <v>f2</v>
      </c>
      <c r="J272" s="7">
        <v>12</v>
      </c>
      <c r="K272" s="9"/>
      <c r="L272" s="10"/>
      <c r="M272" s="11"/>
      <c r="N272" s="12"/>
      <c r="O272" s="13"/>
      <c r="P272" s="14"/>
      <c r="Q272" s="21"/>
      <c r="R272" s="22"/>
      <c r="S272" s="23"/>
      <c r="T272" s="15"/>
      <c r="U272" s="16"/>
      <c r="W272" t="str">
        <f>IF(G272-J272-SUM(K272:U272),G272-J272-SUM(K272:U272),"")</f>
        <v/>
      </c>
    </row>
    <row r="273" spans="1:23" x14ac:dyDescent="0.2">
      <c r="A273" s="7" t="str">
        <f t="shared" si="4"/>
        <v>acspolymersau/3c00003_f6</v>
      </c>
      <c r="B273" s="7" t="s">
        <v>128</v>
      </c>
      <c r="C273" s="17" t="s">
        <v>231</v>
      </c>
      <c r="D273" s="7" t="s">
        <v>22</v>
      </c>
      <c r="E273" s="7" t="s">
        <v>138</v>
      </c>
      <c r="F273" s="7" t="s">
        <v>40</v>
      </c>
      <c r="G273" s="7">
        <v>4</v>
      </c>
      <c r="H273" s="7" t="str" cm="1">
        <f t="array" ref="H273">INDEX(_xlfn.TEXTSPLIT(INDEX(_xlfn.TEXTSPLIT(C273, "/"), 5), "."), 1)</f>
        <v>acspolymersau</v>
      </c>
      <c r="I273" s="7" t="str" cm="1">
        <f t="array" ref="I273">IF(E273="Abstract","a",LOWER(_xlfn.CONCAT(LEFT(INDEX(_xlfn.TEXTSPLIT(E273," "),1),1),INDEX(_xlfn.TEXTSPLIT(E273," "),2))))</f>
        <v>f6</v>
      </c>
      <c r="J273" s="7">
        <v>4</v>
      </c>
      <c r="K273" s="9"/>
      <c r="L273" s="10"/>
      <c r="M273" s="11"/>
      <c r="N273" s="12"/>
      <c r="O273" s="13"/>
      <c r="P273" s="14"/>
      <c r="Q273" s="21"/>
      <c r="R273" s="22"/>
      <c r="S273" s="23"/>
      <c r="T273" s="15"/>
      <c r="U273" s="16"/>
      <c r="W273" t="str">
        <f>IF(G273-J273-SUM(K273:U273),G273-J273-SUM(K273:U273),"")</f>
        <v/>
      </c>
    </row>
    <row r="274" spans="1:23" x14ac:dyDescent="0.2">
      <c r="A274" s="7" t="str">
        <f t="shared" si="4"/>
        <v>acspolymersau/3c00003_f8</v>
      </c>
      <c r="B274" s="7" t="s">
        <v>128</v>
      </c>
      <c r="C274" s="17" t="s">
        <v>231</v>
      </c>
      <c r="D274" s="7" t="s">
        <v>22</v>
      </c>
      <c r="E274" s="7" t="s">
        <v>206</v>
      </c>
      <c r="F274" s="7" t="s">
        <v>40</v>
      </c>
      <c r="G274" s="7">
        <v>4</v>
      </c>
      <c r="H274" s="7" t="str" cm="1">
        <f t="array" ref="H274">INDEX(_xlfn.TEXTSPLIT(INDEX(_xlfn.TEXTSPLIT(C274, "/"), 5), "."), 1)</f>
        <v>acspolymersau</v>
      </c>
      <c r="I274" s="7" t="str" cm="1">
        <f t="array" ref="I274">IF(E274="Abstract","a",LOWER(_xlfn.CONCAT(LEFT(INDEX(_xlfn.TEXTSPLIT(E274," "),1),1),INDEX(_xlfn.TEXTSPLIT(E274," "),2))))</f>
        <v>f8</v>
      </c>
      <c r="J274" s="7">
        <v>4</v>
      </c>
      <c r="K274" s="9"/>
      <c r="L274" s="10"/>
      <c r="M274" s="11"/>
      <c r="N274" s="12"/>
      <c r="O274" s="13"/>
      <c r="P274" s="14"/>
      <c r="Q274" s="21"/>
      <c r="R274" s="22"/>
      <c r="S274" s="23"/>
      <c r="T274" s="15"/>
      <c r="U274" s="16"/>
      <c r="W274" t="str">
        <f>IF(G274-J274-SUM(K274:U274),G274-J274-SUM(K274:U274),"")</f>
        <v/>
      </c>
    </row>
    <row r="275" spans="1:23" x14ac:dyDescent="0.2">
      <c r="A275" s="7" t="str">
        <f t="shared" si="4"/>
        <v>acspolymersau/3c00004_f3</v>
      </c>
      <c r="B275" s="7" t="s">
        <v>128</v>
      </c>
      <c r="C275" s="17" t="s">
        <v>232</v>
      </c>
      <c r="D275" s="7" t="s">
        <v>22</v>
      </c>
      <c r="E275" s="7" t="s">
        <v>44</v>
      </c>
      <c r="F275" s="7" t="s">
        <v>40</v>
      </c>
      <c r="G275" s="7">
        <v>1</v>
      </c>
      <c r="H275" s="7" t="str" cm="1">
        <f t="array" ref="H275">INDEX(_xlfn.TEXTSPLIT(INDEX(_xlfn.TEXTSPLIT(C275, "/"), 5), "."), 1)</f>
        <v>acspolymersau</v>
      </c>
      <c r="I275" s="7" t="str" cm="1">
        <f t="array" ref="I275">IF(E275="Abstract","a",LOWER(_xlfn.CONCAT(LEFT(INDEX(_xlfn.TEXTSPLIT(E275," "),1),1),INDEX(_xlfn.TEXTSPLIT(E275," "),2))))</f>
        <v>f3</v>
      </c>
      <c r="J275" s="7">
        <v>1</v>
      </c>
      <c r="K275" s="9"/>
      <c r="L275" s="10"/>
      <c r="M275" s="11"/>
      <c r="N275" s="12"/>
      <c r="O275" s="13"/>
      <c r="P275" s="14"/>
      <c r="Q275" s="21"/>
      <c r="R275" s="22"/>
      <c r="S275" s="23"/>
      <c r="T275" s="15"/>
      <c r="U275" s="16"/>
      <c r="W275" t="str">
        <f>IF(G275-J275-SUM(K275:U275),G275-J275-SUM(K275:U275),"")</f>
        <v/>
      </c>
    </row>
    <row r="276" spans="1:23" x14ac:dyDescent="0.2">
      <c r="A276" s="7" t="str">
        <f t="shared" si="4"/>
        <v>acspolymersau/3c00004_f4</v>
      </c>
      <c r="B276" s="7" t="s">
        <v>128</v>
      </c>
      <c r="C276" s="17" t="s">
        <v>232</v>
      </c>
      <c r="D276" s="7" t="s">
        <v>22</v>
      </c>
      <c r="E276" s="7" t="s">
        <v>42</v>
      </c>
      <c r="F276" s="7" t="s">
        <v>40</v>
      </c>
      <c r="G276" s="7">
        <v>2</v>
      </c>
      <c r="H276" s="7" t="str" cm="1">
        <f t="array" ref="H276">INDEX(_xlfn.TEXTSPLIT(INDEX(_xlfn.TEXTSPLIT(C276, "/"), 5), "."), 1)</f>
        <v>acspolymersau</v>
      </c>
      <c r="I276" s="7" t="str" cm="1">
        <f t="array" ref="I276">IF(E276="Abstract","a",LOWER(_xlfn.CONCAT(LEFT(INDEX(_xlfn.TEXTSPLIT(E276," "),1),1),INDEX(_xlfn.TEXTSPLIT(E276," "),2))))</f>
        <v>f4</v>
      </c>
      <c r="J276" s="7"/>
      <c r="K276" s="9"/>
      <c r="L276" s="10"/>
      <c r="M276" s="11"/>
      <c r="N276" s="12"/>
      <c r="O276" s="13"/>
      <c r="P276" s="14"/>
      <c r="Q276" s="21"/>
      <c r="R276" s="22"/>
      <c r="S276" s="23">
        <v>2</v>
      </c>
      <c r="T276" s="15"/>
      <c r="U276" s="16"/>
      <c r="W276" t="str">
        <f>IF(G276-J276-SUM(K276:U276),G276-J276-SUM(K276:U276),"")</f>
        <v/>
      </c>
    </row>
    <row r="277" spans="1:23" x14ac:dyDescent="0.2">
      <c r="A277" s="7" t="str">
        <f t="shared" si="4"/>
        <v>acspolymersau/3c00004_s1</v>
      </c>
      <c r="B277" s="7" t="s">
        <v>128</v>
      </c>
      <c r="C277" s="17" t="s">
        <v>232</v>
      </c>
      <c r="D277" s="7" t="s">
        <v>22</v>
      </c>
      <c r="E277" s="7" t="s">
        <v>31</v>
      </c>
      <c r="F277" s="7" t="s">
        <v>40</v>
      </c>
      <c r="G277" s="7">
        <v>1</v>
      </c>
      <c r="H277" s="7" t="str" cm="1">
        <f t="array" ref="H277">INDEX(_xlfn.TEXTSPLIT(INDEX(_xlfn.TEXTSPLIT(C277, "/"), 5), "."), 1)</f>
        <v>acspolymersau</v>
      </c>
      <c r="I277" s="7" t="str" cm="1">
        <f t="array" ref="I277">IF(E277="Abstract","a",LOWER(_xlfn.CONCAT(LEFT(INDEX(_xlfn.TEXTSPLIT(E277," "),1),1),INDEX(_xlfn.TEXTSPLIT(E277," "),2))))</f>
        <v>s1</v>
      </c>
      <c r="J277" s="7"/>
      <c r="K277" s="9"/>
      <c r="L277" s="10"/>
      <c r="M277" s="11"/>
      <c r="N277" s="12"/>
      <c r="O277" s="13"/>
      <c r="P277" s="14"/>
      <c r="Q277" s="21"/>
      <c r="R277" s="22"/>
      <c r="S277" s="23">
        <v>1</v>
      </c>
      <c r="T277" s="15"/>
      <c r="U277" s="16"/>
      <c r="W277" t="str">
        <f>IF(G277-J277-SUM(K277:U277),G277-J277-SUM(K277:U277),"")</f>
        <v/>
      </c>
    </row>
    <row r="278" spans="1:23" x14ac:dyDescent="0.2">
      <c r="A278" s="7" t="str">
        <f t="shared" si="4"/>
        <v>acspolymersau/3c00006_a</v>
      </c>
      <c r="B278" s="7" t="s">
        <v>128</v>
      </c>
      <c r="C278" s="17" t="s">
        <v>233</v>
      </c>
      <c r="D278" s="7" t="s">
        <v>22</v>
      </c>
      <c r="E278" s="7" t="s">
        <v>47</v>
      </c>
      <c r="F278" s="7" t="s">
        <v>40</v>
      </c>
      <c r="G278" s="7">
        <v>1</v>
      </c>
      <c r="H278" s="7" t="str" cm="1">
        <f t="array" ref="H278">INDEX(_xlfn.TEXTSPLIT(INDEX(_xlfn.TEXTSPLIT(C278, "/"), 5), "."), 1)</f>
        <v>acspolymersau</v>
      </c>
      <c r="I278" s="7" t="str" cm="1">
        <f t="array" ref="I278">IF(E278="Abstract","a",LOWER(_xlfn.CONCAT(LEFT(INDEX(_xlfn.TEXTSPLIT(E278," "),1),1),INDEX(_xlfn.TEXTSPLIT(E278," "),2))))</f>
        <v>a</v>
      </c>
      <c r="J278" s="7"/>
      <c r="K278" s="9"/>
      <c r="L278" s="10"/>
      <c r="M278" s="11">
        <v>1</v>
      </c>
      <c r="N278" s="12"/>
      <c r="O278" s="13"/>
      <c r="P278" s="14"/>
      <c r="Q278" s="21"/>
      <c r="R278" s="22"/>
      <c r="S278" s="23"/>
      <c r="T278" s="15"/>
      <c r="U278" s="16"/>
      <c r="W278" t="str">
        <f>IF(G278-J278-SUM(K278:U278),G278-J278-SUM(K278:U278),"")</f>
        <v/>
      </c>
    </row>
    <row r="279" spans="1:23" x14ac:dyDescent="0.2">
      <c r="A279" s="7" t="str">
        <f t="shared" si="4"/>
        <v>acspolymersau/3c00010_f2</v>
      </c>
      <c r="B279" s="7" t="s">
        <v>128</v>
      </c>
      <c r="C279" s="17" t="s">
        <v>234</v>
      </c>
      <c r="D279" s="7" t="s">
        <v>22</v>
      </c>
      <c r="E279" s="7" t="s">
        <v>29</v>
      </c>
      <c r="F279" s="7" t="s">
        <v>40</v>
      </c>
      <c r="G279" s="7">
        <v>1</v>
      </c>
      <c r="H279" s="7" t="str" cm="1">
        <f t="array" ref="H279">INDEX(_xlfn.TEXTSPLIT(INDEX(_xlfn.TEXTSPLIT(C279, "/"), 5), "."), 1)</f>
        <v>acspolymersau</v>
      </c>
      <c r="I279" s="7" t="str" cm="1">
        <f t="array" ref="I279">IF(E279="Abstract","a",LOWER(_xlfn.CONCAT(LEFT(INDEX(_xlfn.TEXTSPLIT(E279," "),1),1),INDEX(_xlfn.TEXTSPLIT(E279," "),2))))</f>
        <v>f2</v>
      </c>
      <c r="J279" s="7">
        <v>1</v>
      </c>
      <c r="K279" s="9"/>
      <c r="L279" s="10"/>
      <c r="M279" s="11"/>
      <c r="N279" s="12"/>
      <c r="O279" s="13"/>
      <c r="P279" s="14"/>
      <c r="Q279" s="21"/>
      <c r="R279" s="22"/>
      <c r="S279" s="23"/>
      <c r="T279" s="15"/>
      <c r="U279" s="16"/>
      <c r="W279" t="str">
        <f>IF(G279-J279-SUM(K279:U279),G279-J279-SUM(K279:U279),"")</f>
        <v/>
      </c>
    </row>
    <row r="280" spans="1:23" x14ac:dyDescent="0.2">
      <c r="A280" s="7" t="str">
        <f t="shared" si="4"/>
        <v>acspolymersau/3c00010_f3</v>
      </c>
      <c r="B280" s="7" t="s">
        <v>128</v>
      </c>
      <c r="C280" s="17" t="s">
        <v>234</v>
      </c>
      <c r="D280" s="7" t="s">
        <v>22</v>
      </c>
      <c r="E280" s="7" t="s">
        <v>44</v>
      </c>
      <c r="F280" s="7" t="s">
        <v>40</v>
      </c>
      <c r="G280" s="7">
        <v>2</v>
      </c>
      <c r="H280" s="7" t="str" cm="1">
        <f t="array" ref="H280">INDEX(_xlfn.TEXTSPLIT(INDEX(_xlfn.TEXTSPLIT(C280, "/"), 5), "."), 1)</f>
        <v>acspolymersau</v>
      </c>
      <c r="I280" s="7" t="str" cm="1">
        <f t="array" ref="I280">IF(E280="Abstract","a",LOWER(_xlfn.CONCAT(LEFT(INDEX(_xlfn.TEXTSPLIT(E280," "),1),1),INDEX(_xlfn.TEXTSPLIT(E280," "),2))))</f>
        <v>f3</v>
      </c>
      <c r="J280" s="7">
        <v>2</v>
      </c>
      <c r="K280" s="9"/>
      <c r="L280" s="10"/>
      <c r="M280" s="11"/>
      <c r="N280" s="12"/>
      <c r="O280" s="13"/>
      <c r="P280" s="14"/>
      <c r="Q280" s="21"/>
      <c r="R280" s="22"/>
      <c r="S280" s="23"/>
      <c r="T280" s="15"/>
      <c r="U280" s="16"/>
      <c r="W280" t="str">
        <f>IF(G280-J280-SUM(K280:U280),G280-J280-SUM(K280:U280),"")</f>
        <v/>
      </c>
    </row>
    <row r="281" spans="1:23" x14ac:dyDescent="0.2">
      <c r="A281" s="7" t="str">
        <f t="shared" si="4"/>
        <v>acspolymersau/3c00011_f4</v>
      </c>
      <c r="B281" s="7" t="s">
        <v>128</v>
      </c>
      <c r="C281" s="17" t="s">
        <v>235</v>
      </c>
      <c r="D281" s="7" t="s">
        <v>22</v>
      </c>
      <c r="E281" s="7" t="s">
        <v>42</v>
      </c>
      <c r="F281" s="7" t="s">
        <v>40</v>
      </c>
      <c r="G281" s="7">
        <v>3</v>
      </c>
      <c r="H281" s="7" t="str" cm="1">
        <f t="array" ref="H281">INDEX(_xlfn.TEXTSPLIT(INDEX(_xlfn.TEXTSPLIT(C281, "/"), 5), "."), 1)</f>
        <v>acspolymersau</v>
      </c>
      <c r="I281" s="7" t="str" cm="1">
        <f t="array" ref="I281">IF(E281="Abstract","a",LOWER(_xlfn.CONCAT(LEFT(INDEX(_xlfn.TEXTSPLIT(E281," "),1),1),INDEX(_xlfn.TEXTSPLIT(E281," "),2))))</f>
        <v>f4</v>
      </c>
      <c r="J281" s="7">
        <v>3</v>
      </c>
      <c r="K281" s="9"/>
      <c r="L281" s="10"/>
      <c r="M281" s="11"/>
      <c r="N281" s="12"/>
      <c r="O281" s="13"/>
      <c r="P281" s="14"/>
      <c r="Q281" s="21"/>
      <c r="R281" s="22"/>
      <c r="S281" s="23"/>
      <c r="T281" s="15"/>
      <c r="U281" s="16"/>
      <c r="W281" t="str">
        <f>IF(G281-J281-SUM(K281:U281),G281-J281-SUM(K281:U281),"")</f>
        <v/>
      </c>
    </row>
    <row r="282" spans="1:23" x14ac:dyDescent="0.2">
      <c r="A282" s="7" t="str">
        <f t="shared" si="4"/>
        <v>acspolymersau/3c00011_s1</v>
      </c>
      <c r="B282" s="7" t="s">
        <v>128</v>
      </c>
      <c r="C282" s="17" t="s">
        <v>235</v>
      </c>
      <c r="D282" s="7" t="s">
        <v>22</v>
      </c>
      <c r="E282" s="7" t="s">
        <v>31</v>
      </c>
      <c r="F282" s="7" t="s">
        <v>40</v>
      </c>
      <c r="G282" s="7">
        <v>3</v>
      </c>
      <c r="H282" s="7" t="str" cm="1">
        <f t="array" ref="H282">INDEX(_xlfn.TEXTSPLIT(INDEX(_xlfn.TEXTSPLIT(C282, "/"), 5), "."), 1)</f>
        <v>acspolymersau</v>
      </c>
      <c r="I282" s="7" t="str" cm="1">
        <f t="array" ref="I282">IF(E282="Abstract","a",LOWER(_xlfn.CONCAT(LEFT(INDEX(_xlfn.TEXTSPLIT(E282," "),1),1),INDEX(_xlfn.TEXTSPLIT(E282," "),2))))</f>
        <v>s1</v>
      </c>
      <c r="J282" s="7">
        <v>1</v>
      </c>
      <c r="K282" s="9">
        <v>1</v>
      </c>
      <c r="L282" s="10"/>
      <c r="M282" s="11"/>
      <c r="N282" s="12"/>
      <c r="O282" s="13"/>
      <c r="P282" s="14">
        <v>1</v>
      </c>
      <c r="Q282" s="21"/>
      <c r="R282" s="22"/>
      <c r="S282" s="23"/>
      <c r="T282" s="15"/>
      <c r="U282" s="16"/>
      <c r="W282" t="str">
        <f>IF(G282-J282-SUM(K282:U282),G282-J282-SUM(K282:U282),"")</f>
        <v/>
      </c>
    </row>
    <row r="283" spans="1:23" x14ac:dyDescent="0.2">
      <c r="A283" s="7" t="str">
        <f t="shared" si="4"/>
        <v>acspolymersau/3c00011_si_ps4</v>
      </c>
      <c r="B283" s="7" t="s">
        <v>128</v>
      </c>
      <c r="C283" s="17" t="s">
        <v>235</v>
      </c>
      <c r="D283" s="7" t="s">
        <v>134</v>
      </c>
      <c r="E283" s="7" t="s">
        <v>236</v>
      </c>
      <c r="F283" s="7" t="s">
        <v>210</v>
      </c>
      <c r="G283" s="7">
        <v>1</v>
      </c>
      <c r="H283" s="7" t="str" cm="1">
        <f t="array" ref="H283">INDEX(_xlfn.TEXTSPLIT(INDEX(_xlfn.TEXTSPLIT(C283, "/"), 5), "."), 1)</f>
        <v>acspolymersau</v>
      </c>
      <c r="I283" s="7" t="str" cm="1">
        <f t="array" ref="I283">IF(E283="Abstract","a",LOWER(_xlfn.CONCAT(LEFT(INDEX(_xlfn.TEXTSPLIT(E283," "),1),1),INDEX(_xlfn.TEXTSPLIT(E283," "),2))))</f>
        <v>ps4</v>
      </c>
      <c r="J283" s="7">
        <v>1</v>
      </c>
      <c r="K283" s="9"/>
      <c r="L283" s="10"/>
      <c r="M283" s="11"/>
      <c r="N283" s="12"/>
      <c r="O283" s="13"/>
      <c r="P283" s="14"/>
      <c r="Q283" s="21"/>
      <c r="R283" s="22"/>
      <c r="S283" s="23"/>
      <c r="T283" s="15"/>
      <c r="U283" s="16"/>
      <c r="W283" t="str">
        <f>IF(G283-J283-SUM(K283:U283),G283-J283-SUM(K283:U283),"")</f>
        <v/>
      </c>
    </row>
    <row r="284" spans="1:23" x14ac:dyDescent="0.2">
      <c r="A284" s="7" t="str">
        <f t="shared" si="4"/>
        <v>acspolymersau/3c00011_si_ps5</v>
      </c>
      <c r="B284" s="7" t="s">
        <v>128</v>
      </c>
      <c r="C284" s="17" t="s">
        <v>235</v>
      </c>
      <c r="D284" s="7" t="s">
        <v>134</v>
      </c>
      <c r="E284" s="7" t="s">
        <v>212</v>
      </c>
      <c r="F284" s="7" t="s">
        <v>210</v>
      </c>
      <c r="G284" s="7">
        <v>2</v>
      </c>
      <c r="H284" s="7" t="str" cm="1">
        <f t="array" ref="H284">INDEX(_xlfn.TEXTSPLIT(INDEX(_xlfn.TEXTSPLIT(C284, "/"), 5), "."), 1)</f>
        <v>acspolymersau</v>
      </c>
      <c r="I284" s="7" t="str" cm="1">
        <f t="array" ref="I284">IF(E284="Abstract","a",LOWER(_xlfn.CONCAT(LEFT(INDEX(_xlfn.TEXTSPLIT(E284," "),1),1),INDEX(_xlfn.TEXTSPLIT(E284," "),2))))</f>
        <v>ps5</v>
      </c>
      <c r="J284" s="7">
        <v>2</v>
      </c>
      <c r="K284" s="9"/>
      <c r="L284" s="10"/>
      <c r="M284" s="11"/>
      <c r="N284" s="12"/>
      <c r="O284" s="13"/>
      <c r="P284" s="14"/>
      <c r="Q284" s="21"/>
      <c r="R284" s="22"/>
      <c r="S284" s="23"/>
      <c r="T284" s="15"/>
      <c r="U284" s="16"/>
      <c r="W284" t="str">
        <f>IF(G284-J284-SUM(K284:U284),G284-J284-SUM(K284:U284),"")</f>
        <v/>
      </c>
    </row>
    <row r="285" spans="1:23" x14ac:dyDescent="0.2">
      <c r="A285" s="7" t="str">
        <f t="shared" si="4"/>
        <v>acspolymersau/3c00011_si_ps6</v>
      </c>
      <c r="B285" s="7" t="s">
        <v>128</v>
      </c>
      <c r="C285" s="17" t="s">
        <v>235</v>
      </c>
      <c r="D285" s="7" t="s">
        <v>134</v>
      </c>
      <c r="E285" s="7" t="s">
        <v>213</v>
      </c>
      <c r="F285" s="7" t="s">
        <v>210</v>
      </c>
      <c r="G285" s="7">
        <v>2</v>
      </c>
      <c r="H285" s="7" t="str" cm="1">
        <f t="array" ref="H285">INDEX(_xlfn.TEXTSPLIT(INDEX(_xlfn.TEXTSPLIT(C285, "/"), 5), "."), 1)</f>
        <v>acspolymersau</v>
      </c>
      <c r="I285" s="7" t="str" cm="1">
        <f t="array" ref="I285">IF(E285="Abstract","a",LOWER(_xlfn.CONCAT(LEFT(INDEX(_xlfn.TEXTSPLIT(E285," "),1),1),INDEX(_xlfn.TEXTSPLIT(E285," "),2))))</f>
        <v>ps6</v>
      </c>
      <c r="J285" s="7">
        <v>1</v>
      </c>
      <c r="K285" s="9">
        <v>1</v>
      </c>
      <c r="L285" s="10"/>
      <c r="M285" s="11"/>
      <c r="N285" s="12"/>
      <c r="O285" s="13"/>
      <c r="P285" s="14"/>
      <c r="Q285" s="21"/>
      <c r="R285" s="22"/>
      <c r="S285" s="23"/>
      <c r="T285" s="15"/>
      <c r="U285" s="16"/>
      <c r="W285" t="str">
        <f>IF(G285-J285-SUM(K285:U285),G285-J285-SUM(K285:U285),"")</f>
        <v/>
      </c>
    </row>
    <row r="286" spans="1:23" x14ac:dyDescent="0.2">
      <c r="A286" s="7" t="str">
        <f t="shared" si="4"/>
        <v>acspolymersau/3c00012_f2</v>
      </c>
      <c r="B286" s="7" t="s">
        <v>128</v>
      </c>
      <c r="C286" s="17" t="s">
        <v>237</v>
      </c>
      <c r="D286" s="7" t="s">
        <v>22</v>
      </c>
      <c r="E286" s="7" t="s">
        <v>29</v>
      </c>
      <c r="F286" s="7" t="s">
        <v>40</v>
      </c>
      <c r="G286" s="7">
        <v>3</v>
      </c>
      <c r="H286" s="7" t="str" cm="1">
        <f t="array" ref="H286">INDEX(_xlfn.TEXTSPLIT(INDEX(_xlfn.TEXTSPLIT(C286, "/"), 5), "."), 1)</f>
        <v>acspolymersau</v>
      </c>
      <c r="I286" s="7" t="str" cm="1">
        <f t="array" ref="I286">IF(E286="Abstract","a",LOWER(_xlfn.CONCAT(LEFT(INDEX(_xlfn.TEXTSPLIT(E286," "),1),1),INDEX(_xlfn.TEXTSPLIT(E286," "),2))))</f>
        <v>f2</v>
      </c>
      <c r="J286" s="7">
        <v>1</v>
      </c>
      <c r="K286" s="9">
        <v>2</v>
      </c>
      <c r="L286" s="10"/>
      <c r="M286" s="11"/>
      <c r="N286" s="12"/>
      <c r="O286" s="13"/>
      <c r="P286" s="14"/>
      <c r="Q286" s="21"/>
      <c r="R286" s="22"/>
      <c r="S286" s="23"/>
      <c r="T286" s="15"/>
      <c r="U286" s="16"/>
      <c r="W286" t="str">
        <f>IF(G286-J286-SUM(K286:U286),G286-J286-SUM(K286:U286),"")</f>
        <v/>
      </c>
    </row>
    <row r="287" spans="1:23" x14ac:dyDescent="0.2">
      <c r="A287" s="7" t="str">
        <f t="shared" si="4"/>
        <v>acspolymersau/3c00012_f3</v>
      </c>
      <c r="B287" s="7" t="s">
        <v>128</v>
      </c>
      <c r="C287" s="17" t="s">
        <v>237</v>
      </c>
      <c r="D287" s="7" t="s">
        <v>22</v>
      </c>
      <c r="E287" s="7" t="s">
        <v>44</v>
      </c>
      <c r="F287" s="7" t="s">
        <v>40</v>
      </c>
      <c r="G287" s="7">
        <v>2</v>
      </c>
      <c r="H287" s="7" t="str" cm="1">
        <f t="array" ref="H287">INDEX(_xlfn.TEXTSPLIT(INDEX(_xlfn.TEXTSPLIT(C287, "/"), 5), "."), 1)</f>
        <v>acspolymersau</v>
      </c>
      <c r="I287" s="7" t="str" cm="1">
        <f t="array" ref="I287">IF(E287="Abstract","a",LOWER(_xlfn.CONCAT(LEFT(INDEX(_xlfn.TEXTSPLIT(E287," "),1),1),INDEX(_xlfn.TEXTSPLIT(E287," "),2))))</f>
        <v>f3</v>
      </c>
      <c r="J287" s="7"/>
      <c r="K287" s="9">
        <v>2</v>
      </c>
      <c r="L287" s="10"/>
      <c r="M287" s="11"/>
      <c r="N287" s="12"/>
      <c r="O287" s="13"/>
      <c r="P287" s="14"/>
      <c r="Q287" s="21"/>
      <c r="R287" s="22"/>
      <c r="S287" s="23"/>
      <c r="T287" s="15"/>
      <c r="U287" s="16"/>
      <c r="W287" t="str">
        <f>IF(G287-J287-SUM(K287:U287),G287-J287-SUM(K287:U287),"")</f>
        <v/>
      </c>
    </row>
    <row r="288" spans="1:23" x14ac:dyDescent="0.2">
      <c r="A288" s="7" t="str">
        <f t="shared" si="4"/>
        <v>acspolymersau/3c00012_si_ps11</v>
      </c>
      <c r="B288" s="7" t="s">
        <v>128</v>
      </c>
      <c r="C288" s="17" t="s">
        <v>237</v>
      </c>
      <c r="D288" s="7" t="s">
        <v>134</v>
      </c>
      <c r="E288" s="7" t="s">
        <v>238</v>
      </c>
      <c r="F288" s="7" t="s">
        <v>210</v>
      </c>
      <c r="G288" s="7">
        <v>1</v>
      </c>
      <c r="H288" s="7" t="str" cm="1">
        <f t="array" ref="H288">INDEX(_xlfn.TEXTSPLIT(INDEX(_xlfn.TEXTSPLIT(C288, "/"), 5), "."), 1)</f>
        <v>acspolymersau</v>
      </c>
      <c r="I288" s="7" t="str" cm="1">
        <f t="array" ref="I288">IF(E288="Abstract","a",LOWER(_xlfn.CONCAT(LEFT(INDEX(_xlfn.TEXTSPLIT(E288," "),1),1),INDEX(_xlfn.TEXTSPLIT(E288," "),2))))</f>
        <v>ps11</v>
      </c>
      <c r="J288" s="7">
        <v>1</v>
      </c>
      <c r="K288" s="9"/>
      <c r="L288" s="10"/>
      <c r="M288" s="11"/>
      <c r="N288" s="12"/>
      <c r="O288" s="13"/>
      <c r="P288" s="14"/>
      <c r="Q288" s="21"/>
      <c r="R288" s="22"/>
      <c r="S288" s="23"/>
      <c r="T288" s="15"/>
      <c r="U288" s="16"/>
      <c r="W288" t="str">
        <f>IF(G288-J288-SUM(K288:U288),G288-J288-SUM(K288:U288),"")</f>
        <v/>
      </c>
    </row>
    <row r="289" spans="1:23" x14ac:dyDescent="0.2">
      <c r="A289" s="7" t="str">
        <f t="shared" si="4"/>
        <v>acspolymersau/3c00012_si_ps13</v>
      </c>
      <c r="B289" s="7" t="s">
        <v>128</v>
      </c>
      <c r="C289" s="17" t="s">
        <v>237</v>
      </c>
      <c r="D289" s="7" t="s">
        <v>134</v>
      </c>
      <c r="E289" s="7" t="s">
        <v>239</v>
      </c>
      <c r="F289" s="7" t="s">
        <v>210</v>
      </c>
      <c r="G289" s="7">
        <v>1</v>
      </c>
      <c r="H289" s="7" t="str" cm="1">
        <f t="array" ref="H289">INDEX(_xlfn.TEXTSPLIT(INDEX(_xlfn.TEXTSPLIT(C289, "/"), 5), "."), 1)</f>
        <v>acspolymersau</v>
      </c>
      <c r="I289" s="7" t="str" cm="1">
        <f t="array" ref="I289">IF(E289="Abstract","a",LOWER(_xlfn.CONCAT(LEFT(INDEX(_xlfn.TEXTSPLIT(E289," "),1),1),INDEX(_xlfn.TEXTSPLIT(E289," "),2))))</f>
        <v>ps13</v>
      </c>
      <c r="J289" s="7">
        <v>1</v>
      </c>
      <c r="K289" s="9"/>
      <c r="L289" s="10"/>
      <c r="M289" s="11"/>
      <c r="N289" s="12"/>
      <c r="O289" s="13"/>
      <c r="P289" s="14"/>
      <c r="Q289" s="21"/>
      <c r="R289" s="22"/>
      <c r="S289" s="23"/>
      <c r="T289" s="15"/>
      <c r="U289" s="16"/>
      <c r="W289" t="str">
        <f>IF(G289-J289-SUM(K289:U289),G289-J289-SUM(K289:U289),"")</f>
        <v/>
      </c>
    </row>
    <row r="290" spans="1:23" x14ac:dyDescent="0.2">
      <c r="A290" s="7" t="str">
        <f t="shared" si="4"/>
        <v>acspolymersau/3c00012_si_ps8</v>
      </c>
      <c r="B290" s="7" t="s">
        <v>128</v>
      </c>
      <c r="C290" s="17" t="s">
        <v>237</v>
      </c>
      <c r="D290" s="7" t="s">
        <v>134</v>
      </c>
      <c r="E290" s="7" t="s">
        <v>165</v>
      </c>
      <c r="F290" s="7" t="s">
        <v>210</v>
      </c>
      <c r="G290" s="7">
        <v>1</v>
      </c>
      <c r="H290" s="7" t="str" cm="1">
        <f t="array" ref="H290">INDEX(_xlfn.TEXTSPLIT(INDEX(_xlfn.TEXTSPLIT(C290, "/"), 5), "."), 1)</f>
        <v>acspolymersau</v>
      </c>
      <c r="I290" s="7" t="str" cm="1">
        <f t="array" ref="I290">IF(E290="Abstract","a",LOWER(_xlfn.CONCAT(LEFT(INDEX(_xlfn.TEXTSPLIT(E290," "),1),1),INDEX(_xlfn.TEXTSPLIT(E290," "),2))))</f>
        <v>ps8</v>
      </c>
      <c r="J290" s="7"/>
      <c r="K290" s="9">
        <v>1</v>
      </c>
      <c r="L290" s="10"/>
      <c r="M290" s="11"/>
      <c r="N290" s="12"/>
      <c r="O290" s="13"/>
      <c r="P290" s="14"/>
      <c r="Q290" s="21"/>
      <c r="R290" s="22"/>
      <c r="S290" s="23"/>
      <c r="T290" s="15"/>
      <c r="U290" s="16"/>
      <c r="W290" t="str">
        <f>IF(G290-J290-SUM(K290:U290),G290-J290-SUM(K290:U290),"")</f>
        <v/>
      </c>
    </row>
    <row r="291" spans="1:23" x14ac:dyDescent="0.2">
      <c r="A291" s="7" t="str">
        <f t="shared" si="4"/>
        <v>acspolymersau/3c00015_f1</v>
      </c>
      <c r="B291" s="7" t="s">
        <v>128</v>
      </c>
      <c r="C291" s="17" t="s">
        <v>240</v>
      </c>
      <c r="D291" s="7" t="s">
        <v>22</v>
      </c>
      <c r="E291" s="7" t="s">
        <v>23</v>
      </c>
      <c r="F291" s="7" t="s">
        <v>33</v>
      </c>
      <c r="G291" s="7">
        <v>2</v>
      </c>
      <c r="H291" s="7" t="str" cm="1">
        <f t="array" ref="H291">INDEX(_xlfn.TEXTSPLIT(INDEX(_xlfn.TEXTSPLIT(C291, "/"), 5), "."), 1)</f>
        <v>acspolymersau</v>
      </c>
      <c r="I291" s="7" t="str" cm="1">
        <f t="array" ref="I291">IF(E291="Abstract","a",LOWER(_xlfn.CONCAT(LEFT(INDEX(_xlfn.TEXTSPLIT(E291," "),1),1),INDEX(_xlfn.TEXTSPLIT(E291," "),2))))</f>
        <v>f1</v>
      </c>
      <c r="J291" s="7"/>
      <c r="K291" s="9"/>
      <c r="L291" s="10">
        <v>1</v>
      </c>
      <c r="M291" s="11"/>
      <c r="N291" s="12">
        <v>1</v>
      </c>
      <c r="O291" s="13"/>
      <c r="P291" s="14"/>
      <c r="Q291" s="21"/>
      <c r="R291" s="22"/>
      <c r="S291" s="23"/>
      <c r="T291" s="15"/>
      <c r="U291" s="16"/>
      <c r="W291" t="str">
        <f>IF(G291-J291-SUM(K291:U291),G291-J291-SUM(K291:U291),"")</f>
        <v/>
      </c>
    </row>
    <row r="292" spans="1:23" x14ac:dyDescent="0.2">
      <c r="A292" s="7" t="str">
        <f t="shared" si="4"/>
        <v>acspolymersau/3c00017_s2</v>
      </c>
      <c r="B292" s="7" t="s">
        <v>128</v>
      </c>
      <c r="C292" s="17" t="s">
        <v>241</v>
      </c>
      <c r="D292" s="7" t="s">
        <v>22</v>
      </c>
      <c r="E292" s="7" t="s">
        <v>55</v>
      </c>
      <c r="F292" s="7" t="s">
        <v>40</v>
      </c>
      <c r="G292" s="8">
        <v>4</v>
      </c>
      <c r="H292" s="7" t="str" cm="1">
        <f t="array" ref="H292">INDEX(_xlfn.TEXTSPLIT(INDEX(_xlfn.TEXTSPLIT(C292, "/"), 5), "."), 1)</f>
        <v>acspolymersau</v>
      </c>
      <c r="I292" s="7" t="str" cm="1">
        <f t="array" ref="I292">IF(E292="Abstract","a",LOWER(_xlfn.CONCAT(LEFT(INDEX(_xlfn.TEXTSPLIT(E292," "),1),1),INDEX(_xlfn.TEXTSPLIT(E292," "),2))))</f>
        <v>s2</v>
      </c>
      <c r="J292" s="7">
        <v>1</v>
      </c>
      <c r="K292" s="9">
        <v>1</v>
      </c>
      <c r="L292" s="10"/>
      <c r="M292" s="11"/>
      <c r="N292" s="12"/>
      <c r="O292" s="13"/>
      <c r="P292" s="14"/>
      <c r="Q292" s="21"/>
      <c r="R292" s="22">
        <v>2</v>
      </c>
      <c r="S292" s="23"/>
      <c r="T292" s="15"/>
      <c r="U292" s="16"/>
      <c r="W292" t="str">
        <f>IF(G292-J292-SUM(K292:U292),G292-J292-SUM(K292:U292),"")</f>
        <v/>
      </c>
    </row>
    <row r="293" spans="1:23" x14ac:dyDescent="0.2">
      <c r="A293" s="7" t="str">
        <f t="shared" si="4"/>
        <v>acspolymersau/3c00017_si_ss1</v>
      </c>
      <c r="B293" s="7" t="s">
        <v>128</v>
      </c>
      <c r="C293" s="17" t="s">
        <v>241</v>
      </c>
      <c r="D293" s="7" t="s">
        <v>134</v>
      </c>
      <c r="E293" s="7" t="s">
        <v>158</v>
      </c>
      <c r="F293" s="7" t="s">
        <v>210</v>
      </c>
      <c r="G293" s="7">
        <v>4</v>
      </c>
      <c r="H293" s="7" t="str" cm="1">
        <f t="array" ref="H293">INDEX(_xlfn.TEXTSPLIT(INDEX(_xlfn.TEXTSPLIT(C293, "/"), 5), "."), 1)</f>
        <v>acspolymersau</v>
      </c>
      <c r="I293" s="7" t="str" cm="1">
        <f t="array" ref="I293">IF(E293="Abstract","a",LOWER(_xlfn.CONCAT(LEFT(INDEX(_xlfn.TEXTSPLIT(E293," "),1),1),INDEX(_xlfn.TEXTSPLIT(E293," "),2))))</f>
        <v>ss1</v>
      </c>
      <c r="J293" s="7">
        <v>4</v>
      </c>
      <c r="K293" s="9"/>
      <c r="L293" s="10"/>
      <c r="M293" s="11"/>
      <c r="N293" s="12"/>
      <c r="O293" s="13"/>
      <c r="P293" s="14"/>
      <c r="Q293" s="21"/>
      <c r="R293" s="22"/>
      <c r="S293" s="23"/>
      <c r="T293" s="15"/>
      <c r="U293" s="16"/>
      <c r="W293" t="str">
        <f>IF(G293-J293-SUM(K293:U293),G293-J293-SUM(K293:U293),"")</f>
        <v/>
      </c>
    </row>
    <row r="294" spans="1:23" x14ac:dyDescent="0.2">
      <c r="A294" s="7" t="str">
        <f t="shared" si="4"/>
        <v>acspolymersau/3c00017_si_ss2</v>
      </c>
      <c r="B294" s="7" t="s">
        <v>128</v>
      </c>
      <c r="C294" s="17" t="s">
        <v>241</v>
      </c>
      <c r="D294" s="7" t="s">
        <v>134</v>
      </c>
      <c r="E294" s="7" t="s">
        <v>159</v>
      </c>
      <c r="F294" s="7" t="s">
        <v>210</v>
      </c>
      <c r="G294" s="7">
        <v>4</v>
      </c>
      <c r="H294" s="7" t="str" cm="1">
        <f t="array" ref="H294">INDEX(_xlfn.TEXTSPLIT(INDEX(_xlfn.TEXTSPLIT(C294, "/"), 5), "."), 1)</f>
        <v>acspolymersau</v>
      </c>
      <c r="I294" s="7" t="str" cm="1">
        <f t="array" ref="I294">IF(E294="Abstract","a",LOWER(_xlfn.CONCAT(LEFT(INDEX(_xlfn.TEXTSPLIT(E294," "),1),1),INDEX(_xlfn.TEXTSPLIT(E294," "),2))))</f>
        <v>ss2</v>
      </c>
      <c r="J294" s="7">
        <v>4</v>
      </c>
      <c r="K294" s="9"/>
      <c r="L294" s="10"/>
      <c r="M294" s="11"/>
      <c r="N294" s="12"/>
      <c r="O294" s="13"/>
      <c r="P294" s="14"/>
      <c r="Q294" s="21"/>
      <c r="R294" s="22"/>
      <c r="S294" s="23"/>
      <c r="T294" s="15"/>
      <c r="U294" s="16"/>
      <c r="W294" t="str">
        <f>IF(G294-J294-SUM(K294:U294),G294-J294-SUM(K294:U294),"")</f>
        <v/>
      </c>
    </row>
    <row r="295" spans="1:23" x14ac:dyDescent="0.2">
      <c r="A295" s="7" t="str">
        <f t="shared" si="4"/>
        <v>acspolymersau/3c00017_si_ss4</v>
      </c>
      <c r="B295" s="7" t="s">
        <v>128</v>
      </c>
      <c r="C295" s="17" t="s">
        <v>241</v>
      </c>
      <c r="D295" s="7" t="s">
        <v>134</v>
      </c>
      <c r="E295" s="7" t="s">
        <v>242</v>
      </c>
      <c r="F295" s="7" t="s">
        <v>210</v>
      </c>
      <c r="G295" s="7">
        <v>3</v>
      </c>
      <c r="H295" s="7" t="str" cm="1">
        <f t="array" ref="H295">INDEX(_xlfn.TEXTSPLIT(INDEX(_xlfn.TEXTSPLIT(C295, "/"), 5), "."), 1)</f>
        <v>acspolymersau</v>
      </c>
      <c r="I295" s="7" t="str" cm="1">
        <f t="array" ref="I295">IF(E295="Abstract","a",LOWER(_xlfn.CONCAT(LEFT(INDEX(_xlfn.TEXTSPLIT(E295," "),1),1),INDEX(_xlfn.TEXTSPLIT(E295," "),2))))</f>
        <v>ss4</v>
      </c>
      <c r="J295" s="7">
        <v>3</v>
      </c>
      <c r="K295" s="9"/>
      <c r="L295" s="10"/>
      <c r="M295" s="11"/>
      <c r="N295" s="12"/>
      <c r="O295" s="13"/>
      <c r="P295" s="14"/>
      <c r="Q295" s="21"/>
      <c r="R295" s="22"/>
      <c r="S295" s="23"/>
      <c r="T295" s="15"/>
      <c r="U295" s="16"/>
      <c r="W295" t="str">
        <f>IF(G295-J295-SUM(K295:U295),G295-J295-SUM(K295:U295),"")</f>
        <v/>
      </c>
    </row>
    <row r="296" spans="1:23" x14ac:dyDescent="0.2">
      <c r="A296" s="7" t="str">
        <f t="shared" si="4"/>
        <v>acspolymersau/3c00017_si_ss5</v>
      </c>
      <c r="B296" s="7" t="s">
        <v>128</v>
      </c>
      <c r="C296" s="17" t="s">
        <v>241</v>
      </c>
      <c r="D296" s="7" t="s">
        <v>134</v>
      </c>
      <c r="E296" s="7" t="s">
        <v>243</v>
      </c>
      <c r="F296" s="7" t="s">
        <v>210</v>
      </c>
      <c r="G296" s="7">
        <v>3</v>
      </c>
      <c r="H296" s="7" t="str" cm="1">
        <f t="array" ref="H296">INDEX(_xlfn.TEXTSPLIT(INDEX(_xlfn.TEXTSPLIT(C296, "/"), 5), "."), 1)</f>
        <v>acspolymersau</v>
      </c>
      <c r="I296" s="7" t="str" cm="1">
        <f t="array" ref="I296">IF(E296="Abstract","a",LOWER(_xlfn.CONCAT(LEFT(INDEX(_xlfn.TEXTSPLIT(E296," "),1),1),INDEX(_xlfn.TEXTSPLIT(E296," "),2))))</f>
        <v>ss5</v>
      </c>
      <c r="J296" s="7"/>
      <c r="K296" s="9"/>
      <c r="L296" s="10"/>
      <c r="M296" s="11"/>
      <c r="N296" s="12"/>
      <c r="O296" s="13"/>
      <c r="P296" s="14"/>
      <c r="Q296" s="21"/>
      <c r="R296" s="22">
        <v>3</v>
      </c>
      <c r="S296" s="23"/>
      <c r="T296" s="15"/>
      <c r="U296" s="16"/>
      <c r="W296" t="str">
        <f>IF(G296-J296-SUM(K296:U296),G296-J296-SUM(K296:U296),"")</f>
        <v/>
      </c>
    </row>
    <row r="297" spans="1:23" x14ac:dyDescent="0.2">
      <c r="A297" s="7" t="str">
        <f t="shared" si="4"/>
        <v>acspolymersau/3c00017_si_ss6</v>
      </c>
      <c r="B297" s="7" t="s">
        <v>128</v>
      </c>
      <c r="C297" s="17" t="s">
        <v>241</v>
      </c>
      <c r="D297" s="7" t="s">
        <v>134</v>
      </c>
      <c r="E297" s="7" t="s">
        <v>244</v>
      </c>
      <c r="F297" s="7" t="s">
        <v>210</v>
      </c>
      <c r="G297" s="7">
        <v>2</v>
      </c>
      <c r="H297" s="7" t="str" cm="1">
        <f t="array" ref="H297">INDEX(_xlfn.TEXTSPLIT(INDEX(_xlfn.TEXTSPLIT(C297, "/"), 5), "."), 1)</f>
        <v>acspolymersau</v>
      </c>
      <c r="I297" s="7" t="str" cm="1">
        <f t="array" ref="I297">IF(E297="Abstract","a",LOWER(_xlfn.CONCAT(LEFT(INDEX(_xlfn.TEXTSPLIT(E297," "),1),1),INDEX(_xlfn.TEXTSPLIT(E297," "),2))))</f>
        <v>ss6</v>
      </c>
      <c r="J297" s="7">
        <v>1</v>
      </c>
      <c r="K297" s="9">
        <v>1</v>
      </c>
      <c r="L297" s="10"/>
      <c r="M297" s="11"/>
      <c r="N297" s="12"/>
      <c r="O297" s="13"/>
      <c r="P297" s="14"/>
      <c r="Q297" s="21"/>
      <c r="R297" s="22"/>
      <c r="S297" s="23"/>
      <c r="T297" s="15"/>
      <c r="U297" s="16"/>
      <c r="W297" t="str">
        <f>IF(G297-J297-SUM(K297:U297),G297-J297-SUM(K297:U297),"")</f>
        <v/>
      </c>
    </row>
    <row r="298" spans="1:23" x14ac:dyDescent="0.2">
      <c r="A298" s="7" t="str">
        <f t="shared" si="4"/>
        <v>acspolymersau/3c00017_si_ss7</v>
      </c>
      <c r="B298" s="7" t="s">
        <v>128</v>
      </c>
      <c r="C298" s="17" t="s">
        <v>241</v>
      </c>
      <c r="D298" s="7" t="s">
        <v>134</v>
      </c>
      <c r="E298" s="7" t="s">
        <v>245</v>
      </c>
      <c r="F298" s="7" t="s">
        <v>210</v>
      </c>
      <c r="G298" s="7">
        <v>4</v>
      </c>
      <c r="H298" s="7" t="str" cm="1">
        <f t="array" ref="H298">INDEX(_xlfn.TEXTSPLIT(INDEX(_xlfn.TEXTSPLIT(C298, "/"), 5), "."), 1)</f>
        <v>acspolymersau</v>
      </c>
      <c r="I298" s="7" t="str" cm="1">
        <f t="array" ref="I298">IF(E298="Abstract","a",LOWER(_xlfn.CONCAT(LEFT(INDEX(_xlfn.TEXTSPLIT(E298," "),1),1),INDEX(_xlfn.TEXTSPLIT(E298," "),2))))</f>
        <v>ss7</v>
      </c>
      <c r="J298" s="7"/>
      <c r="K298" s="9">
        <v>1</v>
      </c>
      <c r="L298" s="10"/>
      <c r="M298" s="11"/>
      <c r="N298" s="12"/>
      <c r="O298" s="13"/>
      <c r="P298" s="14"/>
      <c r="Q298" s="21"/>
      <c r="R298" s="22">
        <v>3</v>
      </c>
      <c r="S298" s="23"/>
      <c r="T298" s="15"/>
      <c r="U298" s="16"/>
      <c r="W298" t="str">
        <f>IF(G298-J298-SUM(K298:U298),G298-J298-SUM(K298:U298),"")</f>
        <v/>
      </c>
    </row>
    <row r="299" spans="1:23" x14ac:dyDescent="0.2">
      <c r="A299" s="7" t="str">
        <f t="shared" si="4"/>
        <v>acspolymersau/3c00020_f1</v>
      </c>
      <c r="B299" s="7" t="s">
        <v>128</v>
      </c>
      <c r="C299" s="17" t="s">
        <v>246</v>
      </c>
      <c r="D299" s="7" t="s">
        <v>22</v>
      </c>
      <c r="E299" s="7" t="s">
        <v>23</v>
      </c>
      <c r="F299" s="7" t="s">
        <v>40</v>
      </c>
      <c r="G299" s="7">
        <v>1</v>
      </c>
      <c r="H299" s="7" t="str" cm="1">
        <f t="array" ref="H299">INDEX(_xlfn.TEXTSPLIT(INDEX(_xlfn.TEXTSPLIT(C299, "/"), 5), "."), 1)</f>
        <v>acspolymersau</v>
      </c>
      <c r="I299" s="7" t="str" cm="1">
        <f t="array" ref="I299">IF(E299="Abstract","a",LOWER(_xlfn.CONCAT(LEFT(INDEX(_xlfn.TEXTSPLIT(E299," "),1),1),INDEX(_xlfn.TEXTSPLIT(E299," "),2))))</f>
        <v>f1</v>
      </c>
      <c r="J299" s="7">
        <v>1</v>
      </c>
      <c r="K299" s="9"/>
      <c r="L299" s="10"/>
      <c r="M299" s="11"/>
      <c r="N299" s="12"/>
      <c r="O299" s="13"/>
      <c r="P299" s="14"/>
      <c r="Q299" s="21"/>
      <c r="R299" s="22"/>
      <c r="S299" s="23"/>
      <c r="T299" s="15"/>
      <c r="U299" s="16"/>
      <c r="W299" t="str">
        <f>IF(G299-J299-SUM(K299:U299),G299-J299-SUM(K299:U299),"")</f>
        <v/>
      </c>
    </row>
    <row r="300" spans="1:23" x14ac:dyDescent="0.2">
      <c r="A300" s="7" t="str">
        <f t="shared" si="4"/>
        <v>acspolymersau/3c00021_si_fs1</v>
      </c>
      <c r="B300" s="7" t="s">
        <v>128</v>
      </c>
      <c r="C300" s="17" t="s">
        <v>247</v>
      </c>
      <c r="D300" s="7" t="s">
        <v>134</v>
      </c>
      <c r="E300" s="7" t="s">
        <v>198</v>
      </c>
      <c r="F300" s="7" t="s">
        <v>210</v>
      </c>
      <c r="G300" s="7">
        <v>1</v>
      </c>
      <c r="H300" s="7" t="str" cm="1">
        <f t="array" ref="H300">INDEX(_xlfn.TEXTSPLIT(INDEX(_xlfn.TEXTSPLIT(C300, "/"), 5), "."), 1)</f>
        <v>acspolymersau</v>
      </c>
      <c r="I300" s="7" t="str" cm="1">
        <f t="array" ref="I300">IF(E300="Abstract","a",LOWER(_xlfn.CONCAT(LEFT(INDEX(_xlfn.TEXTSPLIT(E300," "),1),1),INDEX(_xlfn.TEXTSPLIT(E300," "),2))))</f>
        <v>fs1</v>
      </c>
      <c r="J300" s="7"/>
      <c r="K300" s="9">
        <v>1</v>
      </c>
      <c r="L300" s="10"/>
      <c r="M300" s="11"/>
      <c r="N300" s="12"/>
      <c r="O300" s="13"/>
      <c r="P300" s="14"/>
      <c r="Q300" s="21"/>
      <c r="R300" s="22"/>
      <c r="S300" s="23"/>
      <c r="T300" s="15"/>
      <c r="U300" s="16"/>
      <c r="W300" t="str">
        <f>IF(G300-J300-SUM(K300:U300),G300-J300-SUM(K300:U300),"")</f>
        <v/>
      </c>
    </row>
    <row r="301" spans="1:23" x14ac:dyDescent="0.2">
      <c r="A301" s="7" t="str">
        <f t="shared" si="4"/>
        <v>acspolymersau/3c00021_si_fs4</v>
      </c>
      <c r="B301" s="7" t="s">
        <v>128</v>
      </c>
      <c r="C301" s="17" t="s">
        <v>247</v>
      </c>
      <c r="D301" s="7" t="s">
        <v>134</v>
      </c>
      <c r="E301" s="7" t="s">
        <v>224</v>
      </c>
      <c r="F301" s="7" t="s">
        <v>210</v>
      </c>
      <c r="G301" s="7">
        <v>1</v>
      </c>
      <c r="H301" s="7" t="str" cm="1">
        <f t="array" ref="H301">INDEX(_xlfn.TEXTSPLIT(INDEX(_xlfn.TEXTSPLIT(C301, "/"), 5), "."), 1)</f>
        <v>acspolymersau</v>
      </c>
      <c r="I301" s="7" t="str" cm="1">
        <f t="array" ref="I301">IF(E301="Abstract","a",LOWER(_xlfn.CONCAT(LEFT(INDEX(_xlfn.TEXTSPLIT(E301," "),1),1),INDEX(_xlfn.TEXTSPLIT(E301," "),2))))</f>
        <v>fs4</v>
      </c>
      <c r="J301" s="7"/>
      <c r="K301" s="9">
        <v>1</v>
      </c>
      <c r="L301" s="10"/>
      <c r="M301" s="11"/>
      <c r="N301" s="12"/>
      <c r="O301" s="13"/>
      <c r="P301" s="14"/>
      <c r="Q301" s="21"/>
      <c r="R301" s="22"/>
      <c r="S301" s="23"/>
      <c r="T301" s="15"/>
      <c r="U301" s="16"/>
      <c r="W301" t="str">
        <f>IF(G301-J301-SUM(K301:U301),G301-J301-SUM(K301:U301),"")</f>
        <v/>
      </c>
    </row>
    <row r="302" spans="1:23" x14ac:dyDescent="0.2">
      <c r="A302" s="7" t="str">
        <f t="shared" si="4"/>
        <v>acspolymersau/3c00022_f2</v>
      </c>
      <c r="B302" s="7" t="s">
        <v>128</v>
      </c>
      <c r="C302" s="17" t="s">
        <v>248</v>
      </c>
      <c r="D302" s="7" t="s">
        <v>22</v>
      </c>
      <c r="E302" s="7" t="s">
        <v>29</v>
      </c>
      <c r="F302" s="7" t="s">
        <v>40</v>
      </c>
      <c r="G302" s="7">
        <v>2</v>
      </c>
      <c r="H302" s="7" t="str" cm="1">
        <f t="array" ref="H302">INDEX(_xlfn.TEXTSPLIT(INDEX(_xlfn.TEXTSPLIT(C302, "/"), 5), "."), 1)</f>
        <v>acspolymersau</v>
      </c>
      <c r="I302" s="7" t="str" cm="1">
        <f t="array" ref="I302">IF(E302="Abstract","a",LOWER(_xlfn.CONCAT(LEFT(INDEX(_xlfn.TEXTSPLIT(E302," "),1),1),INDEX(_xlfn.TEXTSPLIT(E302," "),2))))</f>
        <v>f2</v>
      </c>
      <c r="J302" s="7">
        <v>2</v>
      </c>
      <c r="K302" s="9"/>
      <c r="L302" s="10"/>
      <c r="M302" s="11"/>
      <c r="N302" s="12"/>
      <c r="O302" s="13"/>
      <c r="P302" s="14"/>
      <c r="Q302" s="21"/>
      <c r="R302" s="22"/>
      <c r="S302" s="23"/>
      <c r="T302" s="15"/>
      <c r="U302" s="16"/>
      <c r="W302" t="str">
        <f>IF(G302-J302-SUM(K302:U302),G302-J302-SUM(K302:U302),"")</f>
        <v/>
      </c>
    </row>
    <row r="303" spans="1:23" x14ac:dyDescent="0.2">
      <c r="A303" s="7" t="str">
        <f t="shared" si="4"/>
        <v>acspolymersau/3c00026_f1</v>
      </c>
      <c r="B303" s="7" t="s">
        <v>128</v>
      </c>
      <c r="C303" s="17" t="s">
        <v>249</v>
      </c>
      <c r="D303" s="7" t="s">
        <v>22</v>
      </c>
      <c r="E303" s="7" t="s">
        <v>23</v>
      </c>
      <c r="F303" s="7" t="s">
        <v>40</v>
      </c>
      <c r="G303" s="7">
        <v>1</v>
      </c>
      <c r="H303" s="7" t="str" cm="1">
        <f t="array" ref="H303">INDEX(_xlfn.TEXTSPLIT(INDEX(_xlfn.TEXTSPLIT(C303, "/"), 5), "."), 1)</f>
        <v>acspolymersau</v>
      </c>
      <c r="I303" s="7" t="str" cm="1">
        <f t="array" ref="I303">IF(E303="Abstract","a",LOWER(_xlfn.CONCAT(LEFT(INDEX(_xlfn.TEXTSPLIT(E303," "),1),1),INDEX(_xlfn.TEXTSPLIT(E303," "),2))))</f>
        <v>f1</v>
      </c>
      <c r="J303" s="7">
        <v>1</v>
      </c>
      <c r="K303" s="9"/>
      <c r="L303" s="10"/>
      <c r="M303" s="11"/>
      <c r="N303" s="12"/>
      <c r="O303" s="13"/>
      <c r="P303" s="14"/>
      <c r="Q303" s="21"/>
      <c r="R303" s="22"/>
      <c r="S303" s="23"/>
      <c r="T303" s="15"/>
      <c r="U303" s="16"/>
      <c r="W303" t="str">
        <f>IF(G303-J303-SUM(K303:U303),G303-J303-SUM(K303:U303),"")</f>
        <v/>
      </c>
    </row>
    <row r="304" spans="1:23" x14ac:dyDescent="0.2">
      <c r="A304" s="7" t="str">
        <f t="shared" si="4"/>
        <v>acspolymersau/3c00028_si_fs7</v>
      </c>
      <c r="B304" s="7" t="s">
        <v>128</v>
      </c>
      <c r="C304" s="17" t="s">
        <v>250</v>
      </c>
      <c r="D304" s="7" t="s">
        <v>134</v>
      </c>
      <c r="E304" s="7" t="s">
        <v>251</v>
      </c>
      <c r="F304" s="7" t="s">
        <v>210</v>
      </c>
      <c r="G304" s="7">
        <v>4</v>
      </c>
      <c r="H304" s="7" t="str" cm="1">
        <f t="array" ref="H304">INDEX(_xlfn.TEXTSPLIT(INDEX(_xlfn.TEXTSPLIT(C304, "/"), 5), "."), 1)</f>
        <v>acspolymersau</v>
      </c>
      <c r="I304" s="7" t="str" cm="1">
        <f t="array" ref="I304">IF(E304="Abstract","a",LOWER(_xlfn.CONCAT(LEFT(INDEX(_xlfn.TEXTSPLIT(E304," "),1),1),INDEX(_xlfn.TEXTSPLIT(E304," "),2))))</f>
        <v>fs7</v>
      </c>
      <c r="J304" s="7">
        <v>4</v>
      </c>
      <c r="K304" s="9"/>
      <c r="L304" s="10"/>
      <c r="M304" s="11"/>
      <c r="N304" s="12"/>
      <c r="O304" s="13"/>
      <c r="P304" s="14"/>
      <c r="Q304" s="21"/>
      <c r="R304" s="22"/>
      <c r="S304" s="23"/>
      <c r="T304" s="15"/>
      <c r="U304" s="16"/>
      <c r="W304" t="str">
        <f>IF(G304-J304-SUM(K304:U304),G304-J304-SUM(K304:U304),"")</f>
        <v/>
      </c>
    </row>
    <row r="305" spans="1:23" x14ac:dyDescent="0.2">
      <c r="A305" s="7" t="str">
        <f t="shared" si="4"/>
        <v>acspolymersau/3c00028_si_fs8</v>
      </c>
      <c r="B305" s="7" t="s">
        <v>128</v>
      </c>
      <c r="C305" s="17" t="s">
        <v>250</v>
      </c>
      <c r="D305" s="7" t="s">
        <v>134</v>
      </c>
      <c r="E305" s="7" t="s">
        <v>252</v>
      </c>
      <c r="F305" s="7" t="s">
        <v>210</v>
      </c>
      <c r="G305" s="7">
        <v>3</v>
      </c>
      <c r="H305" s="7" t="str" cm="1">
        <f t="array" ref="H305">INDEX(_xlfn.TEXTSPLIT(INDEX(_xlfn.TEXTSPLIT(C305, "/"), 5), "."), 1)</f>
        <v>acspolymersau</v>
      </c>
      <c r="I305" s="7" t="str" cm="1">
        <f t="array" ref="I305">IF(E305="Abstract","a",LOWER(_xlfn.CONCAT(LEFT(INDEX(_xlfn.TEXTSPLIT(E305," "),1),1),INDEX(_xlfn.TEXTSPLIT(E305," "),2))))</f>
        <v>fs8</v>
      </c>
      <c r="J305" s="7"/>
      <c r="K305" s="9"/>
      <c r="L305" s="10"/>
      <c r="M305" s="11">
        <v>3</v>
      </c>
      <c r="N305" s="12"/>
      <c r="O305" s="13"/>
      <c r="P305" s="14"/>
      <c r="Q305" s="21"/>
      <c r="R305" s="22"/>
      <c r="S305" s="23"/>
      <c r="T305" s="15"/>
      <c r="U305" s="16"/>
      <c r="W305" t="str">
        <f>IF(G305-J305-SUM(K305:U305),G305-J305-SUM(K305:U305),"")</f>
        <v/>
      </c>
    </row>
    <row r="306" spans="1:23" x14ac:dyDescent="0.2">
      <c r="A306" s="7" t="str">
        <f t="shared" si="4"/>
        <v>acspolymersau/3c00029_f8</v>
      </c>
      <c r="B306" s="7" t="s">
        <v>128</v>
      </c>
      <c r="C306" s="17" t="s">
        <v>253</v>
      </c>
      <c r="D306" s="7" t="s">
        <v>22</v>
      </c>
      <c r="E306" s="7" t="s">
        <v>206</v>
      </c>
      <c r="F306" s="7" t="s">
        <v>40</v>
      </c>
      <c r="G306" s="7">
        <v>1</v>
      </c>
      <c r="H306" s="7" t="str" cm="1">
        <f t="array" ref="H306">INDEX(_xlfn.TEXTSPLIT(INDEX(_xlfn.TEXTSPLIT(C306, "/"), 5), "."), 1)</f>
        <v>acspolymersau</v>
      </c>
      <c r="I306" s="7" t="str" cm="1">
        <f t="array" ref="I306">IF(E306="Abstract","a",LOWER(_xlfn.CONCAT(LEFT(INDEX(_xlfn.TEXTSPLIT(E306," "),1),1),INDEX(_xlfn.TEXTSPLIT(E306," "),2))))</f>
        <v>f8</v>
      </c>
      <c r="J306" s="7">
        <v>1</v>
      </c>
      <c r="K306" s="9"/>
      <c r="L306" s="10"/>
      <c r="M306" s="11"/>
      <c r="N306" s="12"/>
      <c r="O306" s="13"/>
      <c r="P306" s="14"/>
      <c r="Q306" s="21"/>
      <c r="R306" s="22"/>
      <c r="S306" s="23"/>
      <c r="T306" s="15"/>
      <c r="U306" s="16"/>
      <c r="W306" t="str">
        <f>IF(G306-J306-SUM(K306:U306),G306-J306-SUM(K306:U306),"")</f>
        <v/>
      </c>
    </row>
    <row r="307" spans="1:23" x14ac:dyDescent="0.2">
      <c r="A307" s="7" t="str">
        <f t="shared" si="4"/>
        <v>acspolymersau/3c00031_f1</v>
      </c>
      <c r="B307" s="7" t="s">
        <v>128</v>
      </c>
      <c r="C307" s="17" t="s">
        <v>254</v>
      </c>
      <c r="D307" s="7" t="s">
        <v>22</v>
      </c>
      <c r="E307" s="7" t="s">
        <v>23</v>
      </c>
      <c r="F307" s="7" t="s">
        <v>33</v>
      </c>
      <c r="G307" s="7">
        <v>2</v>
      </c>
      <c r="H307" s="7" t="str" cm="1">
        <f t="array" ref="H307">INDEX(_xlfn.TEXTSPLIT(INDEX(_xlfn.TEXTSPLIT(C307, "/"), 5), "."), 1)</f>
        <v>acspolymersau</v>
      </c>
      <c r="I307" s="7" t="str" cm="1">
        <f t="array" ref="I307">IF(E307="Abstract","a",LOWER(_xlfn.CONCAT(LEFT(INDEX(_xlfn.TEXTSPLIT(E307," "),1),1),INDEX(_xlfn.TEXTSPLIT(E307," "),2))))</f>
        <v>f1</v>
      </c>
      <c r="J307" s="7"/>
      <c r="K307" s="9"/>
      <c r="L307" s="10">
        <v>1</v>
      </c>
      <c r="M307" s="11">
        <v>1</v>
      </c>
      <c r="N307" s="12"/>
      <c r="O307" s="13"/>
      <c r="P307" s="14"/>
      <c r="Q307" s="21"/>
      <c r="R307" s="22"/>
      <c r="S307" s="23"/>
      <c r="T307" s="15"/>
      <c r="U307" s="16"/>
      <c r="W307" t="str">
        <f>IF(G307-J307-SUM(K307:U307),G307-J307-SUM(K307:U307),"")</f>
        <v/>
      </c>
    </row>
    <row r="308" spans="1:23" x14ac:dyDescent="0.2">
      <c r="A308" s="7" t="str">
        <f t="shared" si="4"/>
        <v>acspolymersau/3c00031_si_fs9</v>
      </c>
      <c r="B308" s="7" t="s">
        <v>128</v>
      </c>
      <c r="C308" s="17" t="s">
        <v>254</v>
      </c>
      <c r="D308" s="7" t="s">
        <v>134</v>
      </c>
      <c r="E308" s="7" t="s">
        <v>201</v>
      </c>
      <c r="F308" s="7" t="s">
        <v>210</v>
      </c>
      <c r="G308" s="7">
        <v>2</v>
      </c>
      <c r="H308" s="7" t="str" cm="1">
        <f t="array" ref="H308">INDEX(_xlfn.TEXTSPLIT(INDEX(_xlfn.TEXTSPLIT(C308, "/"), 5), "."), 1)</f>
        <v>acspolymersau</v>
      </c>
      <c r="I308" s="7" t="str" cm="1">
        <f t="array" ref="I308">IF(E308="Abstract","a",LOWER(_xlfn.CONCAT(LEFT(INDEX(_xlfn.TEXTSPLIT(E308," "),1),1),INDEX(_xlfn.TEXTSPLIT(E308," "),2))))</f>
        <v>fs9</v>
      </c>
      <c r="J308" s="7">
        <v>1</v>
      </c>
      <c r="K308" s="9"/>
      <c r="L308" s="10"/>
      <c r="M308" s="11">
        <v>1</v>
      </c>
      <c r="N308" s="12"/>
      <c r="O308" s="13"/>
      <c r="P308" s="14"/>
      <c r="Q308" s="21"/>
      <c r="R308" s="22"/>
      <c r="S308" s="23"/>
      <c r="T308" s="15"/>
      <c r="U308" s="16"/>
      <c r="W308" t="str">
        <f>IF(G308-J308-SUM(K308:U308),G308-J308-SUM(K308:U308),"")</f>
        <v/>
      </c>
    </row>
    <row r="309" spans="1:23" x14ac:dyDescent="0.2">
      <c r="A309" s="7" t="str">
        <f t="shared" si="4"/>
        <v>acspolymersau/3c00033_si_ps10</v>
      </c>
      <c r="B309" s="7" t="s">
        <v>128</v>
      </c>
      <c r="C309" s="17" t="s">
        <v>255</v>
      </c>
      <c r="D309" s="7" t="s">
        <v>134</v>
      </c>
      <c r="E309" s="7" t="s">
        <v>164</v>
      </c>
      <c r="F309" s="7" t="s">
        <v>210</v>
      </c>
      <c r="G309" s="7">
        <v>1</v>
      </c>
      <c r="H309" s="7" t="str" cm="1">
        <f t="array" ref="H309">INDEX(_xlfn.TEXTSPLIT(INDEX(_xlfn.TEXTSPLIT(C309, "/"), 5), "."), 1)</f>
        <v>acspolymersau</v>
      </c>
      <c r="I309" s="7" t="str" cm="1">
        <f t="array" ref="I309">IF(E309="Abstract","a",LOWER(_xlfn.CONCAT(LEFT(INDEX(_xlfn.TEXTSPLIT(E309," "),1),1),INDEX(_xlfn.TEXTSPLIT(E309," "),2))))</f>
        <v>ps10</v>
      </c>
      <c r="J309" s="7">
        <v>1</v>
      </c>
      <c r="K309" s="9"/>
      <c r="L309" s="10"/>
      <c r="M309" s="11"/>
      <c r="N309" s="12"/>
      <c r="O309" s="13"/>
      <c r="P309" s="14"/>
      <c r="Q309" s="21"/>
      <c r="R309" s="22"/>
      <c r="S309" s="23"/>
      <c r="T309" s="15"/>
      <c r="U309" s="16"/>
      <c r="W309" t="str">
        <f>IF(G309-J309-SUM(K309:U309),G309-J309-SUM(K309:U309),"")</f>
        <v/>
      </c>
    </row>
    <row r="310" spans="1:23" x14ac:dyDescent="0.2">
      <c r="A310" s="7" t="str">
        <f t="shared" si="4"/>
        <v>acspolymersau/3c00035_f1</v>
      </c>
      <c r="B310" s="7" t="s">
        <v>128</v>
      </c>
      <c r="C310" s="17" t="s">
        <v>256</v>
      </c>
      <c r="D310" s="7" t="s">
        <v>22</v>
      </c>
      <c r="E310" s="7" t="s">
        <v>23</v>
      </c>
      <c r="F310" s="7" t="s">
        <v>40</v>
      </c>
      <c r="G310" s="7">
        <v>1</v>
      </c>
      <c r="H310" s="7" t="str" cm="1">
        <f t="array" ref="H310">INDEX(_xlfn.TEXTSPLIT(INDEX(_xlfn.TEXTSPLIT(C310, "/"), 5), "."), 1)</f>
        <v>acspolymersau</v>
      </c>
      <c r="I310" s="7" t="str" cm="1">
        <f t="array" ref="I310">IF(E310="Abstract","a",LOWER(_xlfn.CONCAT(LEFT(INDEX(_xlfn.TEXTSPLIT(E310," "),1),1),INDEX(_xlfn.TEXTSPLIT(E310," "),2))))</f>
        <v>f1</v>
      </c>
      <c r="J310" s="7"/>
      <c r="K310" s="9"/>
      <c r="L310" s="10"/>
      <c r="M310" s="11">
        <v>1</v>
      </c>
      <c r="N310" s="12"/>
      <c r="O310" s="13"/>
      <c r="P310" s="14"/>
      <c r="Q310" s="21"/>
      <c r="R310" s="22"/>
      <c r="S310" s="23"/>
      <c r="T310" s="15"/>
      <c r="U310" s="16"/>
      <c r="W310" t="str">
        <f>IF(G310-J310-SUM(K310:U310),G310-J310-SUM(K310:U310),"")</f>
        <v/>
      </c>
    </row>
    <row r="311" spans="1:23" x14ac:dyDescent="0.2">
      <c r="A311" s="7" t="str">
        <f t="shared" si="4"/>
        <v>acspolymersau/3c00037_f1</v>
      </c>
      <c r="B311" s="7" t="s">
        <v>128</v>
      </c>
      <c r="C311" s="17" t="s">
        <v>257</v>
      </c>
      <c r="D311" s="7" t="s">
        <v>22</v>
      </c>
      <c r="E311" s="7" t="s">
        <v>23</v>
      </c>
      <c r="F311" s="7" t="s">
        <v>33</v>
      </c>
      <c r="G311" s="7">
        <v>1</v>
      </c>
      <c r="H311" s="7" t="str" cm="1">
        <f t="array" ref="H311">INDEX(_xlfn.TEXTSPLIT(INDEX(_xlfn.TEXTSPLIT(C311, "/"), 5), "."), 1)</f>
        <v>acspolymersau</v>
      </c>
      <c r="I311" s="7" t="str" cm="1">
        <f t="array" ref="I311">IF(E311="Abstract","a",LOWER(_xlfn.CONCAT(LEFT(INDEX(_xlfn.TEXTSPLIT(E311," "),1),1),INDEX(_xlfn.TEXTSPLIT(E311," "),2))))</f>
        <v>f1</v>
      </c>
      <c r="J311" s="7">
        <v>1</v>
      </c>
      <c r="K311" s="9"/>
      <c r="L311" s="10"/>
      <c r="M311" s="11"/>
      <c r="N311" s="12"/>
      <c r="O311" s="13"/>
      <c r="P311" s="14"/>
      <c r="Q311" s="21"/>
      <c r="R311" s="22"/>
      <c r="S311" s="23"/>
      <c r="T311" s="15"/>
      <c r="U311" s="16"/>
      <c r="W311" t="str">
        <f>IF(G311-J311-SUM(K311:U311),G311-J311-SUM(K311:U311),"")</f>
        <v/>
      </c>
    </row>
    <row r="312" spans="1:23" x14ac:dyDescent="0.2">
      <c r="A312" s="7" t="str">
        <f t="shared" si="4"/>
        <v>acspolymersau/3c00043_f2</v>
      </c>
      <c r="B312" s="7" t="s">
        <v>128</v>
      </c>
      <c r="C312" s="17" t="s">
        <v>258</v>
      </c>
      <c r="D312" s="7" t="s">
        <v>22</v>
      </c>
      <c r="E312" s="7" t="s">
        <v>29</v>
      </c>
      <c r="F312" s="7" t="s">
        <v>33</v>
      </c>
      <c r="G312" s="7">
        <v>4</v>
      </c>
      <c r="H312" s="7" t="str" cm="1">
        <f t="array" ref="H312">INDEX(_xlfn.TEXTSPLIT(INDEX(_xlfn.TEXTSPLIT(C312, "/"), 5), "."), 1)</f>
        <v>acspolymersau</v>
      </c>
      <c r="I312" s="7" t="str" cm="1">
        <f t="array" ref="I312">IF(E312="Abstract","a",LOWER(_xlfn.CONCAT(LEFT(INDEX(_xlfn.TEXTSPLIT(E312," "),1),1),INDEX(_xlfn.TEXTSPLIT(E312," "),2))))</f>
        <v>f2</v>
      </c>
      <c r="J312" s="7">
        <v>2</v>
      </c>
      <c r="K312" s="9"/>
      <c r="L312" s="10">
        <v>1</v>
      </c>
      <c r="M312" s="11"/>
      <c r="N312" s="12"/>
      <c r="O312" s="13">
        <v>1</v>
      </c>
      <c r="P312" s="14"/>
      <c r="Q312" s="21"/>
      <c r="R312" s="22"/>
      <c r="S312" s="23"/>
      <c r="T312" s="15"/>
      <c r="U312" s="16"/>
      <c r="W312" t="str">
        <f>IF(G312-J312-SUM(K312:U312),G312-J312-SUM(K312:U312),"")</f>
        <v/>
      </c>
    </row>
    <row r="313" spans="1:23" x14ac:dyDescent="0.2">
      <c r="A313" s="7" t="str">
        <f t="shared" si="4"/>
        <v>acspolymersau/3c00043_f3</v>
      </c>
      <c r="B313" s="7" t="s">
        <v>128</v>
      </c>
      <c r="C313" s="17" t="s">
        <v>258</v>
      </c>
      <c r="D313" s="7" t="s">
        <v>22</v>
      </c>
      <c r="E313" s="7" t="s">
        <v>44</v>
      </c>
      <c r="F313" s="7" t="s">
        <v>33</v>
      </c>
      <c r="G313" s="7">
        <v>1</v>
      </c>
      <c r="H313" s="7" t="str" cm="1">
        <f t="array" ref="H313">INDEX(_xlfn.TEXTSPLIT(INDEX(_xlfn.TEXTSPLIT(C313, "/"), 5), "."), 1)</f>
        <v>acspolymersau</v>
      </c>
      <c r="I313" s="7" t="str" cm="1">
        <f t="array" ref="I313">IF(E313="Abstract","a",LOWER(_xlfn.CONCAT(LEFT(INDEX(_xlfn.TEXTSPLIT(E313," "),1),1),INDEX(_xlfn.TEXTSPLIT(E313," "),2))))</f>
        <v>f3</v>
      </c>
      <c r="J313" s="7">
        <v>1</v>
      </c>
      <c r="K313" s="9"/>
      <c r="L313" s="10"/>
      <c r="M313" s="11"/>
      <c r="N313" s="12"/>
      <c r="O313" s="13"/>
      <c r="P313" s="14"/>
      <c r="Q313" s="21"/>
      <c r="R313" s="22"/>
      <c r="S313" s="23"/>
      <c r="T313" s="15"/>
      <c r="U313" s="16"/>
      <c r="W313" t="str">
        <f>IF(G313-J313-SUM(K313:U313),G313-J313-SUM(K313:U313),"")</f>
        <v/>
      </c>
    </row>
    <row r="314" spans="1:23" x14ac:dyDescent="0.2">
      <c r="A314" s="7" t="str">
        <f t="shared" si="4"/>
        <v>acspolymersau/3c00043_s1</v>
      </c>
      <c r="B314" s="7" t="s">
        <v>128</v>
      </c>
      <c r="C314" s="17" t="s">
        <v>258</v>
      </c>
      <c r="D314" s="7" t="s">
        <v>22</v>
      </c>
      <c r="E314" s="7" t="s">
        <v>31</v>
      </c>
      <c r="F314" s="7" t="s">
        <v>33</v>
      </c>
      <c r="G314" s="7">
        <v>3</v>
      </c>
      <c r="H314" s="7" t="str" cm="1">
        <f t="array" ref="H314">INDEX(_xlfn.TEXTSPLIT(INDEX(_xlfn.TEXTSPLIT(C314, "/"), 5), "."), 1)</f>
        <v>acspolymersau</v>
      </c>
      <c r="I314" s="7" t="str" cm="1">
        <f t="array" ref="I314">IF(E314="Abstract","a",LOWER(_xlfn.CONCAT(LEFT(INDEX(_xlfn.TEXTSPLIT(E314," "),1),1),INDEX(_xlfn.TEXTSPLIT(E314," "),2))))</f>
        <v>s1</v>
      </c>
      <c r="J314" s="7">
        <v>2</v>
      </c>
      <c r="K314" s="9"/>
      <c r="L314" s="10"/>
      <c r="M314" s="11"/>
      <c r="N314" s="12"/>
      <c r="O314" s="13">
        <v>1</v>
      </c>
      <c r="P314" s="14"/>
      <c r="Q314" s="21"/>
      <c r="R314" s="22"/>
      <c r="S314" s="23"/>
      <c r="T314" s="15"/>
      <c r="U314" s="16"/>
      <c r="W314" t="str">
        <f>IF(G314-J314-SUM(K314:U314),G314-J314-SUM(K314:U314),"")</f>
        <v/>
      </c>
    </row>
    <row r="315" spans="1:23" x14ac:dyDescent="0.2">
      <c r="A315" s="7" t="str">
        <f t="shared" si="4"/>
        <v>acspolymersau/3c00043_si_fs4</v>
      </c>
      <c r="B315" s="7" t="s">
        <v>128</v>
      </c>
      <c r="C315" s="17" t="s">
        <v>258</v>
      </c>
      <c r="D315" s="7" t="s">
        <v>134</v>
      </c>
      <c r="E315" s="7" t="s">
        <v>224</v>
      </c>
      <c r="F315" s="7" t="s">
        <v>210</v>
      </c>
      <c r="G315" s="7">
        <v>1</v>
      </c>
      <c r="H315" s="7" t="str" cm="1">
        <f t="array" ref="H315">INDEX(_xlfn.TEXTSPLIT(INDEX(_xlfn.TEXTSPLIT(C315, "/"), 5), "."), 1)</f>
        <v>acspolymersau</v>
      </c>
      <c r="I315" s="7" t="str" cm="1">
        <f t="array" ref="I315">IF(E315="Abstract","a",LOWER(_xlfn.CONCAT(LEFT(INDEX(_xlfn.TEXTSPLIT(E315," "),1),1),INDEX(_xlfn.TEXTSPLIT(E315," "),2))))</f>
        <v>fs4</v>
      </c>
      <c r="J315" s="7">
        <v>1</v>
      </c>
      <c r="K315" s="9"/>
      <c r="L315" s="10"/>
      <c r="M315" s="11"/>
      <c r="N315" s="12"/>
      <c r="O315" s="13"/>
      <c r="P315" s="14"/>
      <c r="Q315" s="21"/>
      <c r="R315" s="22"/>
      <c r="S315" s="23"/>
      <c r="T315" s="15"/>
      <c r="U315" s="16"/>
      <c r="W315" t="str">
        <f>IF(G315-J315-SUM(K315:U315),G315-J315-SUM(K315:U315),"")</f>
        <v/>
      </c>
    </row>
    <row r="316" spans="1:23" x14ac:dyDescent="0.2">
      <c r="A316" s="7" t="str">
        <f t="shared" si="4"/>
        <v>acspolymersau/3c00046_s2</v>
      </c>
      <c r="B316" s="7" t="s">
        <v>128</v>
      </c>
      <c r="C316" s="17" t="s">
        <v>259</v>
      </c>
      <c r="D316" s="7" t="s">
        <v>22</v>
      </c>
      <c r="E316" s="7" t="s">
        <v>55</v>
      </c>
      <c r="F316" s="7" t="s">
        <v>33</v>
      </c>
      <c r="G316" s="7">
        <v>2</v>
      </c>
      <c r="H316" s="7" t="str" cm="1">
        <f t="array" ref="H316">INDEX(_xlfn.TEXTSPLIT(INDEX(_xlfn.TEXTSPLIT(C316, "/"), 5), "."), 1)</f>
        <v>acspolymersau</v>
      </c>
      <c r="I316" s="7" t="str" cm="1">
        <f t="array" ref="I316">IF(E316="Abstract","a",LOWER(_xlfn.CONCAT(LEFT(INDEX(_xlfn.TEXTSPLIT(E316," "),1),1),INDEX(_xlfn.TEXTSPLIT(E316," "),2))))</f>
        <v>s2</v>
      </c>
      <c r="J316" s="7"/>
      <c r="K316" s="9"/>
      <c r="L316" s="10">
        <v>2</v>
      </c>
      <c r="M316" s="11"/>
      <c r="N316" s="12"/>
      <c r="O316" s="13"/>
      <c r="P316" s="14"/>
      <c r="Q316" s="21"/>
      <c r="R316" s="22"/>
      <c r="S316" s="23"/>
      <c r="T316" s="15"/>
      <c r="U316" s="16"/>
      <c r="W316" t="str">
        <f>IF(G316-J316-SUM(K316:U316),G316-J316-SUM(K316:U316),"")</f>
        <v/>
      </c>
    </row>
    <row r="317" spans="1:23" x14ac:dyDescent="0.2">
      <c r="A317" s="7" t="str">
        <f t="shared" si="4"/>
        <v>acspolymersau/3c00047_s1</v>
      </c>
      <c r="B317" s="7" t="s">
        <v>128</v>
      </c>
      <c r="C317" s="17" t="s">
        <v>260</v>
      </c>
      <c r="D317" s="7" t="s">
        <v>22</v>
      </c>
      <c r="E317" s="7" t="s">
        <v>31</v>
      </c>
      <c r="F317" s="7" t="s">
        <v>40</v>
      </c>
      <c r="G317" s="7">
        <v>4</v>
      </c>
      <c r="H317" s="7" t="str" cm="1">
        <f t="array" ref="H317">INDEX(_xlfn.TEXTSPLIT(INDEX(_xlfn.TEXTSPLIT(C317, "/"), 5), "."), 1)</f>
        <v>acspolymersau</v>
      </c>
      <c r="I317" s="7" t="str" cm="1">
        <f t="array" ref="I317">IF(E317="Abstract","a",LOWER(_xlfn.CONCAT(LEFT(INDEX(_xlfn.TEXTSPLIT(E317," "),1),1),INDEX(_xlfn.TEXTSPLIT(E317," "),2))))</f>
        <v>s1</v>
      </c>
      <c r="J317" s="7"/>
      <c r="K317" s="9"/>
      <c r="L317" s="10"/>
      <c r="M317" s="11">
        <v>1</v>
      </c>
      <c r="N317" s="12">
        <v>3</v>
      </c>
      <c r="O317" s="13"/>
      <c r="P317" s="14"/>
      <c r="Q317" s="21"/>
      <c r="R317" s="22"/>
      <c r="S317" s="23"/>
      <c r="T317" s="15"/>
      <c r="U317" s="16"/>
      <c r="W317" t="str">
        <f>IF(G317-J317-SUM(K317:U317),G317-J317-SUM(K317:U317),"")</f>
        <v/>
      </c>
    </row>
    <row r="318" spans="1:23" x14ac:dyDescent="0.2">
      <c r="A318" s="7" t="str">
        <f t="shared" si="4"/>
        <v>acspolymersau/3c00048_s1</v>
      </c>
      <c r="B318" s="7" t="s">
        <v>128</v>
      </c>
      <c r="C318" s="17" t="s">
        <v>261</v>
      </c>
      <c r="D318" s="7" t="s">
        <v>22</v>
      </c>
      <c r="E318" s="7" t="s">
        <v>31</v>
      </c>
      <c r="F318" s="7" t="s">
        <v>40</v>
      </c>
      <c r="G318" s="7">
        <v>2</v>
      </c>
      <c r="H318" s="7" t="str" cm="1">
        <f t="array" ref="H318">INDEX(_xlfn.TEXTSPLIT(INDEX(_xlfn.TEXTSPLIT(C318, "/"), 5), "."), 1)</f>
        <v>acspolymersau</v>
      </c>
      <c r="I318" s="7" t="str" cm="1">
        <f t="array" ref="I318">IF(E318="Abstract","a",LOWER(_xlfn.CONCAT(LEFT(INDEX(_xlfn.TEXTSPLIT(E318," "),1),1),INDEX(_xlfn.TEXTSPLIT(E318," "),2))))</f>
        <v>s1</v>
      </c>
      <c r="J318" s="7">
        <v>2</v>
      </c>
      <c r="K318" s="9"/>
      <c r="L318" s="10"/>
      <c r="M318" s="11"/>
      <c r="N318" s="12"/>
      <c r="O318" s="13"/>
      <c r="P318" s="14"/>
      <c r="Q318" s="21"/>
      <c r="R318" s="22"/>
      <c r="S318" s="23"/>
      <c r="T318" s="15"/>
      <c r="U318" s="16"/>
      <c r="W318" t="str">
        <f>IF(G318-J318-SUM(K318:U318),G318-J318-SUM(K318:U318),"")</f>
        <v/>
      </c>
    </row>
    <row r="319" spans="1:23" x14ac:dyDescent="0.2">
      <c r="A319" s="7" t="str">
        <f t="shared" si="4"/>
        <v>acspolymersau/3c00052_s1</v>
      </c>
      <c r="B319" s="7" t="s">
        <v>128</v>
      </c>
      <c r="C319" s="17" t="s">
        <v>262</v>
      </c>
      <c r="D319" s="7" t="s">
        <v>22</v>
      </c>
      <c r="E319" s="7" t="s">
        <v>31</v>
      </c>
      <c r="F319" s="7" t="s">
        <v>33</v>
      </c>
      <c r="G319" s="7">
        <v>4</v>
      </c>
      <c r="H319" s="7" t="str" cm="1">
        <f t="array" ref="H319">INDEX(_xlfn.TEXTSPLIT(INDEX(_xlfn.TEXTSPLIT(C319, "/"), 5), "."), 1)</f>
        <v>acspolymersau</v>
      </c>
      <c r="I319" s="7" t="str" cm="1">
        <f t="array" ref="I319">IF(E319="Abstract","a",LOWER(_xlfn.CONCAT(LEFT(INDEX(_xlfn.TEXTSPLIT(E319," "),1),1),INDEX(_xlfn.TEXTSPLIT(E319," "),2))))</f>
        <v>s1</v>
      </c>
      <c r="J319" s="7">
        <v>2</v>
      </c>
      <c r="K319" s="9"/>
      <c r="L319" s="10"/>
      <c r="M319" s="11"/>
      <c r="N319" s="12"/>
      <c r="O319" s="13">
        <v>2</v>
      </c>
      <c r="P319" s="14"/>
      <c r="Q319" s="21"/>
      <c r="R319" s="22"/>
      <c r="S319" s="23"/>
      <c r="T319" s="15"/>
      <c r="U319" s="16"/>
      <c r="W319" t="str">
        <f>IF(G319-J319-SUM(K319:U319),G319-J319-SUM(K319:U319),"")</f>
        <v/>
      </c>
    </row>
    <row r="320" spans="1:23" x14ac:dyDescent="0.2">
      <c r="A320" s="7" t="str">
        <f t="shared" si="4"/>
        <v>acspolymersau/3c00052_si_ps4</v>
      </c>
      <c r="B320" s="7" t="s">
        <v>128</v>
      </c>
      <c r="C320" s="17" t="s">
        <v>262</v>
      </c>
      <c r="D320" s="7" t="s">
        <v>134</v>
      </c>
      <c r="E320" s="7" t="s">
        <v>236</v>
      </c>
      <c r="F320" s="7" t="s">
        <v>210</v>
      </c>
      <c r="G320" s="7">
        <v>1</v>
      </c>
      <c r="H320" s="7" t="str" cm="1">
        <f t="array" ref="H320">INDEX(_xlfn.TEXTSPLIT(INDEX(_xlfn.TEXTSPLIT(C320, "/"), 5), "."), 1)</f>
        <v>acspolymersau</v>
      </c>
      <c r="I320" s="7" t="str" cm="1">
        <f t="array" ref="I320">IF(E320="Abstract","a",LOWER(_xlfn.CONCAT(LEFT(INDEX(_xlfn.TEXTSPLIT(E320," "),1),1),INDEX(_xlfn.TEXTSPLIT(E320," "),2))))</f>
        <v>ps4</v>
      </c>
      <c r="J320" s="7">
        <v>1</v>
      </c>
      <c r="K320" s="9"/>
      <c r="L320" s="10"/>
      <c r="M320" s="11"/>
      <c r="N320" s="12"/>
      <c r="O320" s="13"/>
      <c r="P320" s="14"/>
      <c r="Q320" s="21"/>
      <c r="R320" s="22"/>
      <c r="S320" s="23"/>
      <c r="T320" s="15"/>
      <c r="U320" s="16"/>
      <c r="W320" t="str">
        <f>IF(G320-J320-SUM(K320:U320),G320-J320-SUM(K320:U320),"")</f>
        <v/>
      </c>
    </row>
    <row r="321" spans="1:23" x14ac:dyDescent="0.2">
      <c r="A321" s="7" t="str">
        <f t="shared" si="4"/>
        <v>acspolymersau/3c00052_si_ps9</v>
      </c>
      <c r="B321" s="7" t="s">
        <v>128</v>
      </c>
      <c r="C321" s="17" t="s">
        <v>262</v>
      </c>
      <c r="D321" s="7" t="s">
        <v>134</v>
      </c>
      <c r="E321" s="7" t="s">
        <v>166</v>
      </c>
      <c r="F321" s="7" t="s">
        <v>210</v>
      </c>
      <c r="G321" s="7">
        <v>1</v>
      </c>
      <c r="H321" s="7" t="str" cm="1">
        <f t="array" ref="H321">INDEX(_xlfn.TEXTSPLIT(INDEX(_xlfn.TEXTSPLIT(C321, "/"), 5), "."), 1)</f>
        <v>acspolymersau</v>
      </c>
      <c r="I321" s="7" t="str" cm="1">
        <f t="array" ref="I321">IF(E321="Abstract","a",LOWER(_xlfn.CONCAT(LEFT(INDEX(_xlfn.TEXTSPLIT(E321," "),1),1),INDEX(_xlfn.TEXTSPLIT(E321," "),2))))</f>
        <v>ps9</v>
      </c>
      <c r="J321" s="7">
        <v>1</v>
      </c>
      <c r="K321" s="9"/>
      <c r="L321" s="10"/>
      <c r="M321" s="11"/>
      <c r="N321" s="12"/>
      <c r="O321" s="13"/>
      <c r="P321" s="14"/>
      <c r="Q321" s="21"/>
      <c r="R321" s="22"/>
      <c r="S321" s="23"/>
      <c r="T321" s="15"/>
      <c r="U321" s="16"/>
      <c r="W321" t="str">
        <f>IF(G321-J321-SUM(K321:U321),G321-J321-SUM(K321:U321),"")</f>
        <v/>
      </c>
    </row>
    <row r="322" spans="1:23" x14ac:dyDescent="0.2">
      <c r="A322" s="7" t="str">
        <f t="shared" ref="A322:A385" si="5">_xlfn.CONCAT(H322, "/",RIGHT(C322,7),"_",IF(D322="SI","si_",""), I322)</f>
        <v>acspolymersau/3c00056_s1</v>
      </c>
      <c r="B322" s="7" t="s">
        <v>128</v>
      </c>
      <c r="C322" s="17" t="s">
        <v>263</v>
      </c>
      <c r="D322" s="7" t="s">
        <v>22</v>
      </c>
      <c r="E322" s="7" t="s">
        <v>31</v>
      </c>
      <c r="F322" s="7" t="s">
        <v>40</v>
      </c>
      <c r="G322" s="7">
        <v>1</v>
      </c>
      <c r="H322" s="7" t="str" cm="1">
        <f t="array" ref="H322">INDEX(_xlfn.TEXTSPLIT(INDEX(_xlfn.TEXTSPLIT(C322, "/"), 5), "."), 1)</f>
        <v>acspolymersau</v>
      </c>
      <c r="I322" s="7" t="str" cm="1">
        <f t="array" ref="I322">IF(E322="Abstract","a",LOWER(_xlfn.CONCAT(LEFT(INDEX(_xlfn.TEXTSPLIT(E322," "),1),1),INDEX(_xlfn.TEXTSPLIT(E322," "),2))))</f>
        <v>s1</v>
      </c>
      <c r="J322" s="7">
        <v>1</v>
      </c>
      <c r="K322" s="9"/>
      <c r="L322" s="10"/>
      <c r="M322" s="11"/>
      <c r="N322" s="12"/>
      <c r="O322" s="13"/>
      <c r="P322" s="14"/>
      <c r="Q322" s="21"/>
      <c r="R322" s="22"/>
      <c r="S322" s="23"/>
      <c r="T322" s="15"/>
      <c r="U322" s="16"/>
      <c r="W322" t="str">
        <f>IF(G322-J322-SUM(K322:U322),G322-J322-SUM(K322:U322),"")</f>
        <v/>
      </c>
    </row>
    <row r="323" spans="1:23" x14ac:dyDescent="0.2">
      <c r="A323" s="7" t="str">
        <f t="shared" si="5"/>
        <v>acspolymersau/4c00006_s1</v>
      </c>
      <c r="B323" s="7" t="s">
        <v>128</v>
      </c>
      <c r="C323" s="17" t="s">
        <v>264</v>
      </c>
      <c r="D323" s="7" t="s">
        <v>22</v>
      </c>
      <c r="E323" s="7" t="s">
        <v>31</v>
      </c>
      <c r="F323" s="7" t="s">
        <v>33</v>
      </c>
      <c r="G323" s="7">
        <v>7</v>
      </c>
      <c r="H323" s="7" t="str" cm="1">
        <f t="array" ref="H323">INDEX(_xlfn.TEXTSPLIT(INDEX(_xlfn.TEXTSPLIT(C323, "/"), 5), "."), 1)</f>
        <v>acspolymersau</v>
      </c>
      <c r="I323" s="7" t="str" cm="1">
        <f t="array" ref="I323">IF(E323="Abstract","a",LOWER(_xlfn.CONCAT(LEFT(INDEX(_xlfn.TEXTSPLIT(E323," "),1),1),INDEX(_xlfn.TEXTSPLIT(E323," "),2))))</f>
        <v>s1</v>
      </c>
      <c r="J323" s="7">
        <v>6</v>
      </c>
      <c r="K323" s="9"/>
      <c r="L323" s="10">
        <v>1</v>
      </c>
      <c r="M323" s="11"/>
      <c r="N323" s="12"/>
      <c r="O323" s="13"/>
      <c r="P323" s="14"/>
      <c r="Q323" s="21"/>
      <c r="R323" s="22"/>
      <c r="S323" s="23"/>
      <c r="T323" s="15"/>
      <c r="U323" s="16"/>
      <c r="W323" t="str">
        <f>IF(G323-J323-SUM(K323:U323),G323-J323-SUM(K323:U323),"")</f>
        <v/>
      </c>
    </row>
    <row r="324" spans="1:23" x14ac:dyDescent="0.2">
      <c r="A324" s="7" t="str">
        <f t="shared" si="5"/>
        <v>acspolymersau/4c00009_s2</v>
      </c>
      <c r="B324" s="7" t="s">
        <v>128</v>
      </c>
      <c r="C324" s="17" t="s">
        <v>265</v>
      </c>
      <c r="D324" s="7" t="s">
        <v>22</v>
      </c>
      <c r="E324" s="7" t="s">
        <v>55</v>
      </c>
      <c r="F324" s="7" t="s">
        <v>40</v>
      </c>
      <c r="G324" s="7">
        <v>4</v>
      </c>
      <c r="H324" s="7" t="str" cm="1">
        <f t="array" ref="H324">INDEX(_xlfn.TEXTSPLIT(INDEX(_xlfn.TEXTSPLIT(C324, "/"), 5), "."), 1)</f>
        <v>acspolymersau</v>
      </c>
      <c r="I324" s="7" t="str" cm="1">
        <f t="array" ref="I324">IF(E324="Abstract","a",LOWER(_xlfn.CONCAT(LEFT(INDEX(_xlfn.TEXTSPLIT(E324," "),1),1),INDEX(_xlfn.TEXTSPLIT(E324," "),2))))</f>
        <v>s2</v>
      </c>
      <c r="J324" s="7">
        <v>2</v>
      </c>
      <c r="K324" s="9">
        <v>2</v>
      </c>
      <c r="L324" s="10"/>
      <c r="M324" s="11"/>
      <c r="N324" s="12"/>
      <c r="O324" s="13"/>
      <c r="P324" s="14"/>
      <c r="Q324" s="21"/>
      <c r="R324" s="22"/>
      <c r="S324" s="23"/>
      <c r="T324" s="15"/>
      <c r="U324" s="16"/>
      <c r="W324" t="str">
        <f>IF(G324-J324-SUM(K324:U324),G324-J324-SUM(K324:U324),"")</f>
        <v/>
      </c>
    </row>
    <row r="325" spans="1:23" x14ac:dyDescent="0.2">
      <c r="A325" s="7" t="str">
        <f t="shared" si="5"/>
        <v>acspolymersau/4c00013_s1</v>
      </c>
      <c r="B325" s="7" t="s">
        <v>128</v>
      </c>
      <c r="C325" s="17" t="s">
        <v>266</v>
      </c>
      <c r="D325" s="7" t="s">
        <v>22</v>
      </c>
      <c r="E325" s="7" t="s">
        <v>31</v>
      </c>
      <c r="F325" s="7" t="s">
        <v>40</v>
      </c>
      <c r="G325" s="7">
        <v>4</v>
      </c>
      <c r="H325" s="7" t="str" cm="1">
        <f t="array" ref="H325">INDEX(_xlfn.TEXTSPLIT(INDEX(_xlfn.TEXTSPLIT(C325, "/"), 5), "."), 1)</f>
        <v>acspolymersau</v>
      </c>
      <c r="I325" s="7" t="str" cm="1">
        <f t="array" ref="I325">IF(E325="Abstract","a",LOWER(_xlfn.CONCAT(LEFT(INDEX(_xlfn.TEXTSPLIT(E325," "),1),1),INDEX(_xlfn.TEXTSPLIT(E325," "),2))))</f>
        <v>s1</v>
      </c>
      <c r="J325" s="7">
        <v>3</v>
      </c>
      <c r="K325" s="9"/>
      <c r="L325" s="10">
        <v>1</v>
      </c>
      <c r="M325" s="11"/>
      <c r="N325" s="12"/>
      <c r="O325" s="13"/>
      <c r="P325" s="14"/>
      <c r="Q325" s="21"/>
      <c r="R325" s="22"/>
      <c r="S325" s="23"/>
      <c r="T325" s="15"/>
      <c r="U325" s="16"/>
      <c r="W325" t="str">
        <f>IF(G325-J325-SUM(K325:U325),G325-J325-SUM(K325:U325),"")</f>
        <v/>
      </c>
    </row>
    <row r="326" spans="1:23" x14ac:dyDescent="0.2">
      <c r="A326" s="7" t="str">
        <f t="shared" si="5"/>
        <v>acspolymersau/4c00013_s2</v>
      </c>
      <c r="B326" s="7" t="s">
        <v>128</v>
      </c>
      <c r="C326" s="17" t="s">
        <v>266</v>
      </c>
      <c r="D326" s="7" t="s">
        <v>22</v>
      </c>
      <c r="E326" s="7" t="s">
        <v>55</v>
      </c>
      <c r="F326" s="7" t="s">
        <v>40</v>
      </c>
      <c r="G326" s="7">
        <v>1</v>
      </c>
      <c r="H326" s="7" t="str" cm="1">
        <f t="array" ref="H326">INDEX(_xlfn.TEXTSPLIT(INDEX(_xlfn.TEXTSPLIT(C326, "/"), 5), "."), 1)</f>
        <v>acspolymersau</v>
      </c>
      <c r="I326" s="7" t="str" cm="1">
        <f t="array" ref="I326">IF(E326="Abstract","a",LOWER(_xlfn.CONCAT(LEFT(INDEX(_xlfn.TEXTSPLIT(E326," "),1),1),INDEX(_xlfn.TEXTSPLIT(E326," "),2))))</f>
        <v>s2</v>
      </c>
      <c r="J326" s="7"/>
      <c r="K326" s="9"/>
      <c r="L326" s="10">
        <v>1</v>
      </c>
      <c r="M326" s="11"/>
      <c r="N326" s="12"/>
      <c r="O326" s="13"/>
      <c r="P326" s="14"/>
      <c r="Q326" s="21"/>
      <c r="R326" s="22"/>
      <c r="S326" s="23"/>
      <c r="T326" s="15"/>
      <c r="U326" s="16"/>
      <c r="W326" t="str">
        <f>IF(G326-J326-SUM(K326:U326),G326-J326-SUM(K326:U326),"")</f>
        <v/>
      </c>
    </row>
    <row r="327" spans="1:23" x14ac:dyDescent="0.2">
      <c r="A327" s="7" t="str">
        <f t="shared" si="5"/>
        <v>acspolymersau/4c00029_f1</v>
      </c>
      <c r="B327" s="7" t="s">
        <v>128</v>
      </c>
      <c r="C327" s="17" t="s">
        <v>267</v>
      </c>
      <c r="D327" s="7" t="s">
        <v>22</v>
      </c>
      <c r="E327" s="7" t="s">
        <v>23</v>
      </c>
      <c r="F327" s="7" t="s">
        <v>40</v>
      </c>
      <c r="G327" s="7">
        <v>3</v>
      </c>
      <c r="H327" s="7" t="str" cm="1">
        <f t="array" ref="H327">INDEX(_xlfn.TEXTSPLIT(INDEX(_xlfn.TEXTSPLIT(C327, "/"), 5), "."), 1)</f>
        <v>acspolymersau</v>
      </c>
      <c r="I327" s="7" t="str" cm="1">
        <f t="array" ref="I327">IF(E327="Abstract","a",LOWER(_xlfn.CONCAT(LEFT(INDEX(_xlfn.TEXTSPLIT(E327," "),1),1),INDEX(_xlfn.TEXTSPLIT(E327," "),2))))</f>
        <v>f1</v>
      </c>
      <c r="J327" s="7">
        <v>3</v>
      </c>
      <c r="K327" s="9"/>
      <c r="L327" s="10"/>
      <c r="M327" s="11"/>
      <c r="N327" s="12"/>
      <c r="O327" s="13"/>
      <c r="P327" s="14"/>
      <c r="Q327" s="21"/>
      <c r="R327" s="22"/>
      <c r="S327" s="23"/>
      <c r="T327" s="15"/>
      <c r="U327" s="16"/>
      <c r="W327" t="str">
        <f>IF(G327-J327-SUM(K327:U327),G327-J327-SUM(K327:U327),"")</f>
        <v/>
      </c>
    </row>
    <row r="328" spans="1:23" x14ac:dyDescent="0.2">
      <c r="A328" s="7" t="str">
        <f t="shared" si="5"/>
        <v>acspolymersau/4c00029_f4</v>
      </c>
      <c r="B328" s="7" t="s">
        <v>128</v>
      </c>
      <c r="C328" s="17" t="s">
        <v>267</v>
      </c>
      <c r="D328" s="7" t="s">
        <v>22</v>
      </c>
      <c r="E328" s="7" t="s">
        <v>42</v>
      </c>
      <c r="F328" s="7" t="s">
        <v>40</v>
      </c>
      <c r="G328" s="7">
        <v>3</v>
      </c>
      <c r="H328" s="7" t="str" cm="1">
        <f t="array" ref="H328">INDEX(_xlfn.TEXTSPLIT(INDEX(_xlfn.TEXTSPLIT(C328, "/"), 5), "."), 1)</f>
        <v>acspolymersau</v>
      </c>
      <c r="I328" s="7" t="str" cm="1">
        <f t="array" ref="I328">IF(E328="Abstract","a",LOWER(_xlfn.CONCAT(LEFT(INDEX(_xlfn.TEXTSPLIT(E328," "),1),1),INDEX(_xlfn.TEXTSPLIT(E328," "),2))))</f>
        <v>f4</v>
      </c>
      <c r="J328" s="7">
        <v>3</v>
      </c>
      <c r="K328" s="9"/>
      <c r="L328" s="10"/>
      <c r="M328" s="11"/>
      <c r="N328" s="12"/>
      <c r="O328" s="13"/>
      <c r="P328" s="14"/>
      <c r="Q328" s="21"/>
      <c r="R328" s="22"/>
      <c r="S328" s="23"/>
      <c r="T328" s="15"/>
      <c r="U328" s="16"/>
      <c r="W328" t="str">
        <f>IF(G328-J328-SUM(K328:U328),G328-J328-SUM(K328:U328),"")</f>
        <v/>
      </c>
    </row>
    <row r="329" spans="1:23" x14ac:dyDescent="0.2">
      <c r="A329" s="7" t="str">
        <f t="shared" si="5"/>
        <v>acspolymersau/4c00029_si_ss4</v>
      </c>
      <c r="B329" s="7" t="s">
        <v>128</v>
      </c>
      <c r="C329" s="17" t="s">
        <v>267</v>
      </c>
      <c r="D329" s="7" t="s">
        <v>134</v>
      </c>
      <c r="E329" s="7" t="s">
        <v>242</v>
      </c>
      <c r="F329" s="7" t="s">
        <v>210</v>
      </c>
      <c r="G329" s="7">
        <v>5</v>
      </c>
      <c r="H329" s="7" t="str" cm="1">
        <f t="array" ref="H329">INDEX(_xlfn.TEXTSPLIT(INDEX(_xlfn.TEXTSPLIT(C329, "/"), 5), "."), 1)</f>
        <v>acspolymersau</v>
      </c>
      <c r="I329" s="7" t="str" cm="1">
        <f t="array" ref="I329">IF(E329="Abstract","a",LOWER(_xlfn.CONCAT(LEFT(INDEX(_xlfn.TEXTSPLIT(E329," "),1),1),INDEX(_xlfn.TEXTSPLIT(E329," "),2))))</f>
        <v>ss4</v>
      </c>
      <c r="J329" s="7">
        <v>5</v>
      </c>
      <c r="K329" s="9"/>
      <c r="L329" s="10"/>
      <c r="M329" s="11"/>
      <c r="N329" s="12"/>
      <c r="O329" s="13"/>
      <c r="P329" s="14"/>
      <c r="Q329" s="21"/>
      <c r="R329" s="22"/>
      <c r="S329" s="23"/>
      <c r="T329" s="15"/>
      <c r="U329" s="16"/>
      <c r="W329" t="str">
        <f>IF(G329-J329-SUM(K329:U329),G329-J329-SUM(K329:U329),"")</f>
        <v/>
      </c>
    </row>
    <row r="330" spans="1:23" x14ac:dyDescent="0.2">
      <c r="A330" s="7" t="str">
        <f t="shared" si="5"/>
        <v>acspolymersau/4c00033_s1</v>
      </c>
      <c r="B330" s="7" t="s">
        <v>128</v>
      </c>
      <c r="C330" s="17" t="s">
        <v>268</v>
      </c>
      <c r="D330" s="7" t="s">
        <v>22</v>
      </c>
      <c r="E330" s="7" t="s">
        <v>31</v>
      </c>
      <c r="F330" s="7" t="s">
        <v>33</v>
      </c>
      <c r="G330" s="7">
        <v>5</v>
      </c>
      <c r="H330" s="7" t="str" cm="1">
        <f t="array" ref="H330">INDEX(_xlfn.TEXTSPLIT(INDEX(_xlfn.TEXTSPLIT(C330, "/"), 5), "."), 1)</f>
        <v>acspolymersau</v>
      </c>
      <c r="I330" s="7" t="str" cm="1">
        <f t="array" ref="I330">IF(E330="Abstract","a",LOWER(_xlfn.CONCAT(LEFT(INDEX(_xlfn.TEXTSPLIT(E330," "),1),1),INDEX(_xlfn.TEXTSPLIT(E330," "),2))))</f>
        <v>s1</v>
      </c>
      <c r="J330" s="7">
        <v>2</v>
      </c>
      <c r="K330" s="9">
        <v>1</v>
      </c>
      <c r="L330" s="10"/>
      <c r="M330" s="11"/>
      <c r="N330" s="12"/>
      <c r="O330" s="13">
        <v>2</v>
      </c>
      <c r="P330" s="14"/>
      <c r="Q330" s="21"/>
      <c r="R330" s="22"/>
      <c r="S330" s="23"/>
      <c r="T330" s="15"/>
      <c r="U330" s="16"/>
      <c r="W330" t="str">
        <f>IF(G330-J330-SUM(K330:U330),G330-J330-SUM(K330:U330),"")</f>
        <v/>
      </c>
    </row>
    <row r="331" spans="1:23" x14ac:dyDescent="0.2">
      <c r="A331" s="7" t="str">
        <f t="shared" si="5"/>
        <v>acspolymersau/4c00048_s1</v>
      </c>
      <c r="B331" s="7" t="s">
        <v>128</v>
      </c>
      <c r="C331" s="17" t="s">
        <v>269</v>
      </c>
      <c r="D331" s="7" t="s">
        <v>22</v>
      </c>
      <c r="E331" s="7" t="s">
        <v>31</v>
      </c>
      <c r="F331" s="7" t="s">
        <v>40</v>
      </c>
      <c r="G331" s="7">
        <v>1</v>
      </c>
      <c r="H331" s="7" t="str" cm="1">
        <f t="array" ref="H331">INDEX(_xlfn.TEXTSPLIT(INDEX(_xlfn.TEXTSPLIT(C331, "/"), 5), "."), 1)</f>
        <v>acspolymersau</v>
      </c>
      <c r="I331" s="7" t="str" cm="1">
        <f t="array" ref="I331">IF(E331="Abstract","a",LOWER(_xlfn.CONCAT(LEFT(INDEX(_xlfn.TEXTSPLIT(E331," "),1),1),INDEX(_xlfn.TEXTSPLIT(E331," "),2))))</f>
        <v>s1</v>
      </c>
      <c r="J331" s="7">
        <v>1</v>
      </c>
      <c r="K331" s="9"/>
      <c r="L331" s="10"/>
      <c r="M331" s="11"/>
      <c r="N331" s="12"/>
      <c r="O331" s="13"/>
      <c r="P331" s="14"/>
      <c r="Q331" s="21"/>
      <c r="R331" s="22"/>
      <c r="S331" s="23"/>
      <c r="T331" s="15"/>
      <c r="U331" s="16"/>
      <c r="W331" t="str">
        <f>IF(G331-J331-SUM(K331:U331),G331-J331-SUM(K331:U331),"")</f>
        <v/>
      </c>
    </row>
    <row r="332" spans="1:23" x14ac:dyDescent="0.2">
      <c r="A332" s="7" t="str">
        <f t="shared" si="5"/>
        <v>acspolymersau/4c00050_s1</v>
      </c>
      <c r="B332" s="7" t="s">
        <v>128</v>
      </c>
      <c r="C332" s="17" t="s">
        <v>270</v>
      </c>
      <c r="D332" s="7" t="s">
        <v>22</v>
      </c>
      <c r="E332" s="7" t="s">
        <v>31</v>
      </c>
      <c r="F332" s="7" t="s">
        <v>40</v>
      </c>
      <c r="G332" s="7">
        <v>2</v>
      </c>
      <c r="H332" s="7" t="str" cm="1">
        <f t="array" ref="H332">INDEX(_xlfn.TEXTSPLIT(INDEX(_xlfn.TEXTSPLIT(C332, "/"), 5), "."), 1)</f>
        <v>acspolymersau</v>
      </c>
      <c r="I332" s="7" t="str" cm="1">
        <f t="array" ref="I332">IF(E332="Abstract","a",LOWER(_xlfn.CONCAT(LEFT(INDEX(_xlfn.TEXTSPLIT(E332," "),1),1),INDEX(_xlfn.TEXTSPLIT(E332," "),2))))</f>
        <v>s1</v>
      </c>
      <c r="J332" s="7">
        <v>2</v>
      </c>
      <c r="K332" s="9"/>
      <c r="L332" s="10"/>
      <c r="M332" s="11"/>
      <c r="N332" s="12"/>
      <c r="O332" s="13"/>
      <c r="P332" s="14"/>
      <c r="Q332" s="21"/>
      <c r="R332" s="22"/>
      <c r="S332" s="23"/>
      <c r="T332" s="15"/>
      <c r="U332" s="16"/>
      <c r="W332" t="str">
        <f>IF(G332-J332-SUM(K332:U332),G332-J332-SUM(K332:U332),"")</f>
        <v/>
      </c>
    </row>
    <row r="333" spans="1:23" x14ac:dyDescent="0.2">
      <c r="A333" s="7" t="str">
        <f t="shared" si="5"/>
        <v>acspolymersau/4c00059_s1</v>
      </c>
      <c r="B333" s="7" t="s">
        <v>128</v>
      </c>
      <c r="C333" s="17" t="s">
        <v>271</v>
      </c>
      <c r="D333" s="7" t="s">
        <v>22</v>
      </c>
      <c r="E333" s="7" t="s">
        <v>31</v>
      </c>
      <c r="F333" s="7" t="s">
        <v>33</v>
      </c>
      <c r="G333" s="7">
        <v>4</v>
      </c>
      <c r="H333" s="7" t="str" cm="1">
        <f t="array" ref="H333">INDEX(_xlfn.TEXTSPLIT(INDEX(_xlfn.TEXTSPLIT(C333, "/"), 5), "."), 1)</f>
        <v>acspolymersau</v>
      </c>
      <c r="I333" s="7" t="str" cm="1">
        <f t="array" ref="I333">IF(E333="Abstract","a",LOWER(_xlfn.CONCAT(LEFT(INDEX(_xlfn.TEXTSPLIT(E333," "),1),1),INDEX(_xlfn.TEXTSPLIT(E333," "),2))))</f>
        <v>s1</v>
      </c>
      <c r="J333" s="7">
        <v>4</v>
      </c>
      <c r="K333" s="9"/>
      <c r="L333" s="10"/>
      <c r="M333" s="11"/>
      <c r="N333" s="12"/>
      <c r="O333" s="13"/>
      <c r="P333" s="14"/>
      <c r="Q333" s="21"/>
      <c r="R333" s="22"/>
      <c r="S333" s="23"/>
      <c r="T333" s="15"/>
      <c r="U333" s="16"/>
      <c r="W333" t="str">
        <f>IF(G333-J333-SUM(K333:U333),G333-J333-SUM(K333:U333),"")</f>
        <v/>
      </c>
    </row>
    <row r="334" spans="1:23" x14ac:dyDescent="0.2">
      <c r="A334" s="7" t="str">
        <f t="shared" si="5"/>
        <v>acspolymersau/4c00073_s2</v>
      </c>
      <c r="B334" s="7" t="s">
        <v>128</v>
      </c>
      <c r="C334" s="17" t="s">
        <v>272</v>
      </c>
      <c r="D334" s="7" t="s">
        <v>22</v>
      </c>
      <c r="E334" s="7" t="s">
        <v>55</v>
      </c>
      <c r="F334" s="7" t="s">
        <v>40</v>
      </c>
      <c r="G334" s="7">
        <v>1</v>
      </c>
      <c r="H334" s="7" t="str" cm="1">
        <f t="array" ref="H334">INDEX(_xlfn.TEXTSPLIT(INDEX(_xlfn.TEXTSPLIT(C334, "/"), 5), "."), 1)</f>
        <v>acspolymersau</v>
      </c>
      <c r="I334" s="7" t="str" cm="1">
        <f t="array" ref="I334">IF(E334="Abstract","a",LOWER(_xlfn.CONCAT(LEFT(INDEX(_xlfn.TEXTSPLIT(E334," "),1),1),INDEX(_xlfn.TEXTSPLIT(E334," "),2))))</f>
        <v>s2</v>
      </c>
      <c r="J334" s="7">
        <v>1</v>
      </c>
      <c r="K334" s="9"/>
      <c r="L334" s="10"/>
      <c r="M334" s="11"/>
      <c r="N334" s="12"/>
      <c r="O334" s="13"/>
      <c r="P334" s="14"/>
      <c r="Q334" s="21"/>
      <c r="R334" s="22"/>
      <c r="S334" s="23"/>
      <c r="T334" s="15"/>
      <c r="U334" s="16"/>
      <c r="W334" t="str">
        <f>IF(G334-J334-SUM(K334:U334),G334-J334-SUM(K334:U334),"")</f>
        <v/>
      </c>
    </row>
    <row r="335" spans="1:23" x14ac:dyDescent="0.2">
      <c r="A335" s="7" t="str">
        <f t="shared" si="5"/>
        <v>acspolymersau/4c00074_f1</v>
      </c>
      <c r="B335" s="7" t="s">
        <v>128</v>
      </c>
      <c r="C335" s="17" t="s">
        <v>273</v>
      </c>
      <c r="D335" s="7" t="s">
        <v>22</v>
      </c>
      <c r="E335" s="7" t="s">
        <v>23</v>
      </c>
      <c r="F335" s="7" t="s">
        <v>33</v>
      </c>
      <c r="G335" s="7">
        <v>2</v>
      </c>
      <c r="H335" s="7" t="str" cm="1">
        <f t="array" ref="H335">INDEX(_xlfn.TEXTSPLIT(INDEX(_xlfn.TEXTSPLIT(C335, "/"), 5), "."), 1)</f>
        <v>acspolymersau</v>
      </c>
      <c r="I335" s="7" t="str" cm="1">
        <f t="array" ref="I335">IF(E335="Abstract","a",LOWER(_xlfn.CONCAT(LEFT(INDEX(_xlfn.TEXTSPLIT(E335," "),1),1),INDEX(_xlfn.TEXTSPLIT(E335," "),2))))</f>
        <v>f1</v>
      </c>
      <c r="J335" s="7">
        <v>1</v>
      </c>
      <c r="K335" s="9">
        <v>1</v>
      </c>
      <c r="L335" s="10"/>
      <c r="M335" s="11"/>
      <c r="N335" s="12"/>
      <c r="O335" s="13"/>
      <c r="P335" s="14"/>
      <c r="Q335" s="21"/>
      <c r="R335" s="22"/>
      <c r="S335" s="23"/>
      <c r="T335" s="15"/>
      <c r="U335" s="16"/>
      <c r="W335" t="str">
        <f>IF(G335-J335-SUM(K335:U335),G335-J335-SUM(K335:U335),"")</f>
        <v/>
      </c>
    </row>
    <row r="336" spans="1:23" x14ac:dyDescent="0.2">
      <c r="A336" s="7" t="str">
        <f t="shared" si="5"/>
        <v>acspolymersau/4c00079_s1</v>
      </c>
      <c r="B336" s="7" t="s">
        <v>128</v>
      </c>
      <c r="C336" s="17" t="s">
        <v>274</v>
      </c>
      <c r="D336" s="7" t="s">
        <v>22</v>
      </c>
      <c r="E336" s="7" t="s">
        <v>31</v>
      </c>
      <c r="F336" s="7" t="s">
        <v>33</v>
      </c>
      <c r="G336" s="7">
        <v>2</v>
      </c>
      <c r="H336" s="7" t="str" cm="1">
        <f t="array" ref="H336">INDEX(_xlfn.TEXTSPLIT(INDEX(_xlfn.TEXTSPLIT(C336, "/"), 5), "."), 1)</f>
        <v>acspolymersau</v>
      </c>
      <c r="I336" s="7" t="str" cm="1">
        <f t="array" ref="I336">IF(E336="Abstract","a",LOWER(_xlfn.CONCAT(LEFT(INDEX(_xlfn.TEXTSPLIT(E336," "),1),1),INDEX(_xlfn.TEXTSPLIT(E336," "),2))))</f>
        <v>s1</v>
      </c>
      <c r="J336" s="7">
        <v>2</v>
      </c>
      <c r="K336" s="9"/>
      <c r="L336" s="10"/>
      <c r="M336" s="11"/>
      <c r="N336" s="12"/>
      <c r="O336" s="13"/>
      <c r="P336" s="14"/>
      <c r="Q336" s="21"/>
      <c r="R336" s="22"/>
      <c r="S336" s="23"/>
      <c r="T336" s="15"/>
      <c r="U336" s="16"/>
      <c r="W336" t="str">
        <f>IF(G336-J336-SUM(K336:U336),G336-J336-SUM(K336:U336),"")</f>
        <v/>
      </c>
    </row>
    <row r="337" spans="1:23" x14ac:dyDescent="0.2">
      <c r="A337" s="7" t="str">
        <f t="shared" si="5"/>
        <v>acspolymersau/4c00088_a</v>
      </c>
      <c r="B337" s="7" t="s">
        <v>128</v>
      </c>
      <c r="C337" s="17" t="s">
        <v>275</v>
      </c>
      <c r="D337" s="7" t="s">
        <v>22</v>
      </c>
      <c r="E337" s="7" t="s">
        <v>47</v>
      </c>
      <c r="F337" s="7" t="s">
        <v>33</v>
      </c>
      <c r="G337" s="7">
        <v>1</v>
      </c>
      <c r="H337" s="7" t="str" cm="1">
        <f t="array" ref="H337">INDEX(_xlfn.TEXTSPLIT(INDEX(_xlfn.TEXTSPLIT(C337, "/"), 5), "."), 1)</f>
        <v>acspolymersau</v>
      </c>
      <c r="I337" s="7" t="str" cm="1">
        <f t="array" ref="I337">IF(E337="Abstract","a",LOWER(_xlfn.CONCAT(LEFT(INDEX(_xlfn.TEXTSPLIT(E337," "),1),1),INDEX(_xlfn.TEXTSPLIT(E337," "),2))))</f>
        <v>a</v>
      </c>
      <c r="J337" s="7">
        <v>1</v>
      </c>
      <c r="K337" s="9"/>
      <c r="L337" s="10"/>
      <c r="M337" s="11"/>
      <c r="N337" s="12"/>
      <c r="O337" s="13"/>
      <c r="P337" s="14"/>
      <c r="Q337" s="21"/>
      <c r="R337" s="22"/>
      <c r="S337" s="23"/>
      <c r="T337" s="15"/>
      <c r="U337" s="16"/>
      <c r="W337" t="str">
        <f>IF(G337-J337-SUM(K337:U337),G337-J337-SUM(K337:U337),"")</f>
        <v/>
      </c>
    </row>
    <row r="338" spans="1:23" x14ac:dyDescent="0.2">
      <c r="A338" s="7" t="str">
        <f t="shared" si="5"/>
        <v>acspolymersau/4c00088_f3</v>
      </c>
      <c r="B338" s="7" t="s">
        <v>128</v>
      </c>
      <c r="C338" s="17" t="s">
        <v>275</v>
      </c>
      <c r="D338" s="7" t="s">
        <v>22</v>
      </c>
      <c r="E338" s="7" t="s">
        <v>44</v>
      </c>
      <c r="F338" s="7" t="s">
        <v>33</v>
      </c>
      <c r="G338" s="7">
        <v>3</v>
      </c>
      <c r="H338" s="7" t="str" cm="1">
        <f t="array" ref="H338">INDEX(_xlfn.TEXTSPLIT(INDEX(_xlfn.TEXTSPLIT(C338, "/"), 5), "."), 1)</f>
        <v>acspolymersau</v>
      </c>
      <c r="I338" s="7" t="str" cm="1">
        <f t="array" ref="I338">IF(E338="Abstract","a",LOWER(_xlfn.CONCAT(LEFT(INDEX(_xlfn.TEXTSPLIT(E338," "),1),1),INDEX(_xlfn.TEXTSPLIT(E338," "),2))))</f>
        <v>f3</v>
      </c>
      <c r="J338" s="7">
        <v>2</v>
      </c>
      <c r="K338" s="9"/>
      <c r="L338" s="10"/>
      <c r="M338" s="11"/>
      <c r="N338" s="12"/>
      <c r="O338" s="13"/>
      <c r="P338" s="14"/>
      <c r="Q338" s="21"/>
      <c r="R338" s="22"/>
      <c r="S338" s="23">
        <v>1</v>
      </c>
      <c r="T338" s="15"/>
      <c r="U338" s="16"/>
      <c r="W338" t="str">
        <f>IF(G338-J338-SUM(K338:U338),G338-J338-SUM(K338:U338),"")</f>
        <v/>
      </c>
    </row>
    <row r="339" spans="1:23" x14ac:dyDescent="0.2">
      <c r="A339" s="7" t="str">
        <f t="shared" si="5"/>
        <v>acspolymersau/4c00089_a</v>
      </c>
      <c r="B339" s="7" t="s">
        <v>128</v>
      </c>
      <c r="C339" s="17" t="s">
        <v>276</v>
      </c>
      <c r="D339" s="7" t="s">
        <v>22</v>
      </c>
      <c r="E339" s="7" t="s">
        <v>47</v>
      </c>
      <c r="F339" s="7" t="s">
        <v>33</v>
      </c>
      <c r="G339" s="7">
        <v>2</v>
      </c>
      <c r="H339" s="7" t="str" cm="1">
        <f t="array" ref="H339">INDEX(_xlfn.TEXTSPLIT(INDEX(_xlfn.TEXTSPLIT(C339, "/"), 5), "."), 1)</f>
        <v>acspolymersau</v>
      </c>
      <c r="I339" s="7" t="str" cm="1">
        <f t="array" ref="I339">IF(E339="Abstract","a",LOWER(_xlfn.CONCAT(LEFT(INDEX(_xlfn.TEXTSPLIT(E339," "),1),1),INDEX(_xlfn.TEXTSPLIT(E339," "),2))))</f>
        <v>a</v>
      </c>
      <c r="J339" s="7"/>
      <c r="K339" s="9"/>
      <c r="L339" s="10">
        <v>1</v>
      </c>
      <c r="M339" s="11"/>
      <c r="N339" s="12"/>
      <c r="O339" s="13"/>
      <c r="P339" s="14"/>
      <c r="Q339" s="21"/>
      <c r="R339" s="22"/>
      <c r="S339" s="23">
        <v>1</v>
      </c>
      <c r="T339" s="15"/>
      <c r="U339" s="16"/>
      <c r="W339" t="str">
        <f>IF(G339-J339-SUM(K339:U339),G339-J339-SUM(K339:U339),"")</f>
        <v/>
      </c>
    </row>
    <row r="340" spans="1:23" x14ac:dyDescent="0.2">
      <c r="A340" s="7" t="str">
        <f t="shared" si="5"/>
        <v>acspolymersau/4c00095_a</v>
      </c>
      <c r="B340" s="7" t="s">
        <v>128</v>
      </c>
      <c r="C340" s="17" t="s">
        <v>277</v>
      </c>
      <c r="D340" s="7" t="s">
        <v>22</v>
      </c>
      <c r="E340" s="7" t="s">
        <v>47</v>
      </c>
      <c r="F340" s="7" t="s">
        <v>40</v>
      </c>
      <c r="G340" s="7">
        <v>1</v>
      </c>
      <c r="H340" s="7" t="str" cm="1">
        <f t="array" ref="H340">INDEX(_xlfn.TEXTSPLIT(INDEX(_xlfn.TEXTSPLIT(C340, "/"), 5), "."), 1)</f>
        <v>acspolymersau</v>
      </c>
      <c r="I340" s="7" t="str" cm="1">
        <f t="array" ref="I340">IF(E340="Abstract","a",LOWER(_xlfn.CONCAT(LEFT(INDEX(_xlfn.TEXTSPLIT(E340," "),1),1),INDEX(_xlfn.TEXTSPLIT(E340," "),2))))</f>
        <v>a</v>
      </c>
      <c r="J340" s="7">
        <v>1</v>
      </c>
      <c r="K340" s="9"/>
      <c r="L340" s="10"/>
      <c r="M340" s="11"/>
      <c r="N340" s="12"/>
      <c r="O340" s="13"/>
      <c r="P340" s="14"/>
      <c r="Q340" s="21"/>
      <c r="R340" s="22"/>
      <c r="S340" s="23"/>
      <c r="T340" s="15"/>
      <c r="U340" s="16"/>
      <c r="W340" t="str">
        <f>IF(G340-J340-SUM(K340:U340),G340-J340-SUM(K340:U340),"")</f>
        <v/>
      </c>
    </row>
    <row r="341" spans="1:23" x14ac:dyDescent="0.2">
      <c r="A341" s="7" t="str">
        <f t="shared" si="5"/>
        <v>acspolymersau/4c00096_s1</v>
      </c>
      <c r="B341" s="7" t="s">
        <v>128</v>
      </c>
      <c r="C341" s="17" t="s">
        <v>278</v>
      </c>
      <c r="D341" s="7" t="s">
        <v>22</v>
      </c>
      <c r="E341" s="7" t="s">
        <v>31</v>
      </c>
      <c r="F341" s="7" t="s">
        <v>40</v>
      </c>
      <c r="G341" s="7">
        <v>1</v>
      </c>
      <c r="H341" s="7" t="str" cm="1">
        <f t="array" ref="H341">INDEX(_xlfn.TEXTSPLIT(INDEX(_xlfn.TEXTSPLIT(C341, "/"), 5), "."), 1)</f>
        <v>acspolymersau</v>
      </c>
      <c r="I341" s="7" t="str" cm="1">
        <f t="array" ref="I341">IF(E341="Abstract","a",LOWER(_xlfn.CONCAT(LEFT(INDEX(_xlfn.TEXTSPLIT(E341," "),1),1),INDEX(_xlfn.TEXTSPLIT(E341," "),2))))</f>
        <v>s1</v>
      </c>
      <c r="J341" s="7">
        <v>1</v>
      </c>
      <c r="K341" s="9"/>
      <c r="L341" s="10"/>
      <c r="M341" s="11"/>
      <c r="N341" s="12"/>
      <c r="O341" s="13"/>
      <c r="P341" s="14"/>
      <c r="Q341" s="21"/>
      <c r="R341" s="22"/>
      <c r="S341" s="23"/>
      <c r="T341" s="15"/>
      <c r="U341" s="16"/>
      <c r="W341" t="str">
        <f>IF(G341-J341-SUM(K341:U341),G341-J341-SUM(K341:U341),"")</f>
        <v/>
      </c>
    </row>
    <row r="342" spans="1:23" x14ac:dyDescent="0.2">
      <c r="A342" s="7" t="str">
        <f t="shared" si="5"/>
        <v>acspolymersau/4c00099_f1</v>
      </c>
      <c r="B342" s="7" t="s">
        <v>128</v>
      </c>
      <c r="C342" s="17" t="s">
        <v>279</v>
      </c>
      <c r="D342" s="7" t="s">
        <v>22</v>
      </c>
      <c r="E342" s="7" t="s">
        <v>23</v>
      </c>
      <c r="F342" s="7" t="s">
        <v>40</v>
      </c>
      <c r="G342" s="7">
        <v>1</v>
      </c>
      <c r="H342" s="7" t="str" cm="1">
        <f t="array" ref="H342">INDEX(_xlfn.TEXTSPLIT(INDEX(_xlfn.TEXTSPLIT(C342, "/"), 5), "."), 1)</f>
        <v>acspolymersau</v>
      </c>
      <c r="I342" s="7" t="str" cm="1">
        <f t="array" ref="I342">IF(E342="Abstract","a",LOWER(_xlfn.CONCAT(LEFT(INDEX(_xlfn.TEXTSPLIT(E342," "),1),1),INDEX(_xlfn.TEXTSPLIT(E342," "),2))))</f>
        <v>f1</v>
      </c>
      <c r="J342" s="7"/>
      <c r="K342" s="9"/>
      <c r="L342" s="10"/>
      <c r="M342" s="11"/>
      <c r="N342" s="12"/>
      <c r="O342" s="13"/>
      <c r="P342" s="14"/>
      <c r="Q342" s="21"/>
      <c r="R342" s="22"/>
      <c r="S342" s="23">
        <v>1</v>
      </c>
      <c r="T342" s="15"/>
      <c r="U342" s="16"/>
      <c r="W342" t="str">
        <f>IF(G342-J342-SUM(K342:U342),G342-J342-SUM(K342:U342),"")</f>
        <v/>
      </c>
    </row>
    <row r="343" spans="1:23" x14ac:dyDescent="0.2">
      <c r="A343" s="7" t="str">
        <f t="shared" si="5"/>
        <v>acspolymersau/4c00101_s2</v>
      </c>
      <c r="B343" s="7" t="s">
        <v>128</v>
      </c>
      <c r="C343" s="17" t="s">
        <v>280</v>
      </c>
      <c r="D343" s="7" t="s">
        <v>22</v>
      </c>
      <c r="E343" s="7" t="s">
        <v>55</v>
      </c>
      <c r="F343" s="7" t="s">
        <v>33</v>
      </c>
      <c r="G343" s="7">
        <v>2</v>
      </c>
      <c r="H343" s="7" t="str" cm="1">
        <f t="array" ref="H343">INDEX(_xlfn.TEXTSPLIT(INDEX(_xlfn.TEXTSPLIT(C343, "/"), 5), "."), 1)</f>
        <v>acspolymersau</v>
      </c>
      <c r="I343" s="7" t="str" cm="1">
        <f t="array" ref="I343">IF(E343="Abstract","a",LOWER(_xlfn.CONCAT(LEFT(INDEX(_xlfn.TEXTSPLIT(E343," "),1),1),INDEX(_xlfn.TEXTSPLIT(E343," "),2))))</f>
        <v>s2</v>
      </c>
      <c r="J343" s="7">
        <v>2</v>
      </c>
      <c r="K343" s="9"/>
      <c r="L343" s="10"/>
      <c r="M343" s="11"/>
      <c r="N343" s="12"/>
      <c r="O343" s="13"/>
      <c r="P343" s="14"/>
      <c r="Q343" s="21"/>
      <c r="R343" s="22"/>
      <c r="S343" s="23"/>
      <c r="T343" s="15"/>
      <c r="U343" s="16"/>
      <c r="W343" t="str">
        <f>IF(G343-J343-SUM(K343:U343),G343-J343-SUM(K343:U343),"")</f>
        <v/>
      </c>
    </row>
    <row r="344" spans="1:23" x14ac:dyDescent="0.2">
      <c r="A344" s="7" t="str">
        <f t="shared" si="5"/>
        <v>acspolymersau/5c00007_f3</v>
      </c>
      <c r="B344" s="7" t="s">
        <v>128</v>
      </c>
      <c r="C344" s="17" t="s">
        <v>281</v>
      </c>
      <c r="D344" s="7" t="s">
        <v>22</v>
      </c>
      <c r="E344" s="7" t="s">
        <v>44</v>
      </c>
      <c r="F344" s="7" t="s">
        <v>40</v>
      </c>
      <c r="G344" s="7">
        <v>4</v>
      </c>
      <c r="H344" s="7" t="str" cm="1">
        <f t="array" ref="H344">INDEX(_xlfn.TEXTSPLIT(INDEX(_xlfn.TEXTSPLIT(C344, "/"), 5), "."), 1)</f>
        <v>acspolymersau</v>
      </c>
      <c r="I344" s="7" t="str" cm="1">
        <f t="array" ref="I344">IF(E344="Abstract","a",LOWER(_xlfn.CONCAT(LEFT(INDEX(_xlfn.TEXTSPLIT(E344," "),1),1),INDEX(_xlfn.TEXTSPLIT(E344," "),2))))</f>
        <v>f3</v>
      </c>
      <c r="J344" s="7">
        <v>2</v>
      </c>
      <c r="K344" s="9"/>
      <c r="L344" s="10"/>
      <c r="M344" s="11"/>
      <c r="N344" s="12"/>
      <c r="O344" s="13"/>
      <c r="P344" s="14"/>
      <c r="Q344" s="21"/>
      <c r="R344" s="22">
        <v>2</v>
      </c>
      <c r="S344" s="23"/>
      <c r="T344" s="15"/>
      <c r="U344" s="16"/>
      <c r="W344" t="str">
        <f>IF(G344-J344-SUM(K344:U344),G344-J344-SUM(K344:U344),"")</f>
        <v/>
      </c>
    </row>
    <row r="345" spans="1:23" x14ac:dyDescent="0.2">
      <c r="A345" s="7" t="str">
        <f t="shared" si="5"/>
        <v>acspolymersau/5c00009_a</v>
      </c>
      <c r="B345" s="7" t="s">
        <v>128</v>
      </c>
      <c r="C345" s="17" t="s">
        <v>282</v>
      </c>
      <c r="D345" s="7" t="s">
        <v>22</v>
      </c>
      <c r="E345" s="7" t="s">
        <v>47</v>
      </c>
      <c r="F345" s="7" t="s">
        <v>33</v>
      </c>
      <c r="G345" s="7">
        <v>2</v>
      </c>
      <c r="H345" s="7" t="str" cm="1">
        <f t="array" ref="H345">INDEX(_xlfn.TEXTSPLIT(INDEX(_xlfn.TEXTSPLIT(C345, "/"), 5), "."), 1)</f>
        <v>acspolymersau</v>
      </c>
      <c r="I345" s="7" t="str" cm="1">
        <f t="array" ref="I345">IF(E345="Abstract","a",LOWER(_xlfn.CONCAT(LEFT(INDEX(_xlfn.TEXTSPLIT(E345," "),1),1),INDEX(_xlfn.TEXTSPLIT(E345," "),2))))</f>
        <v>a</v>
      </c>
      <c r="J345" s="7">
        <v>2</v>
      </c>
      <c r="K345" s="9"/>
      <c r="L345" s="10"/>
      <c r="M345" s="11"/>
      <c r="N345" s="12"/>
      <c r="O345" s="13"/>
      <c r="P345" s="14"/>
      <c r="Q345" s="21"/>
      <c r="R345" s="22"/>
      <c r="S345" s="23"/>
      <c r="T345" s="15"/>
      <c r="U345" s="16"/>
      <c r="W345" t="str">
        <f>IF(G345-J345-SUM(K345:U345),G345-J345-SUM(K345:U345),"")</f>
        <v/>
      </c>
    </row>
    <row r="346" spans="1:23" s="6" customFormat="1" x14ac:dyDescent="0.2">
      <c r="A346" s="8" t="str">
        <f t="shared" si="5"/>
        <v>acspolymersau/5c00012_f1</v>
      </c>
      <c r="B346" s="8" t="s">
        <v>128</v>
      </c>
      <c r="C346" s="20" t="s">
        <v>283</v>
      </c>
      <c r="D346" s="8" t="s">
        <v>22</v>
      </c>
      <c r="E346" s="8" t="s">
        <v>23</v>
      </c>
      <c r="F346" s="8" t="s">
        <v>33</v>
      </c>
      <c r="G346" s="8">
        <v>4</v>
      </c>
      <c r="H346" s="8" t="str" cm="1">
        <f t="array" ref="H346">INDEX(_xlfn.TEXTSPLIT(INDEX(_xlfn.TEXTSPLIT(C346, "/"), 5), "."), 1)</f>
        <v>acspolymersau</v>
      </c>
      <c r="I346" s="8" t="str" cm="1">
        <f t="array" ref="I346">IF(E346="Abstract","a",LOWER(_xlfn.CONCAT(LEFT(INDEX(_xlfn.TEXTSPLIT(E346," "),1),1),INDEX(_xlfn.TEXTSPLIT(E346," "),2))))</f>
        <v>f1</v>
      </c>
      <c r="J346" s="19">
        <v>1</v>
      </c>
      <c r="K346" s="9"/>
      <c r="L346" s="10"/>
      <c r="M346" s="11"/>
      <c r="N346" s="12">
        <v>3</v>
      </c>
      <c r="O346" s="13"/>
      <c r="P346" s="14"/>
      <c r="Q346" s="21"/>
      <c r="R346" s="22"/>
      <c r="S346" s="23"/>
      <c r="T346" s="15"/>
      <c r="U346" s="16"/>
      <c r="W346" s="6" t="str">
        <f>IF(G346-J346-SUM(K346:U346),G346-J346-SUM(K346:U346),"")</f>
        <v/>
      </c>
    </row>
    <row r="347" spans="1:23" x14ac:dyDescent="0.2">
      <c r="A347" s="7" t="str">
        <f t="shared" si="5"/>
        <v>acspolymersau/5c00016_s1</v>
      </c>
      <c r="B347" s="7" t="s">
        <v>128</v>
      </c>
      <c r="C347" s="17" t="s">
        <v>284</v>
      </c>
      <c r="D347" s="7" t="s">
        <v>22</v>
      </c>
      <c r="E347" s="7" t="s">
        <v>31</v>
      </c>
      <c r="F347" s="7" t="s">
        <v>40</v>
      </c>
      <c r="G347" s="7">
        <v>5</v>
      </c>
      <c r="H347" s="7" t="str" cm="1">
        <f t="array" ref="H347">INDEX(_xlfn.TEXTSPLIT(INDEX(_xlfn.TEXTSPLIT(C347, "/"), 5), "."), 1)</f>
        <v>acspolymersau</v>
      </c>
      <c r="I347" s="7" t="str" cm="1">
        <f t="array" ref="I347">IF(E347="Abstract","a",LOWER(_xlfn.CONCAT(LEFT(INDEX(_xlfn.TEXTSPLIT(E347," "),1),1),INDEX(_xlfn.TEXTSPLIT(E347," "),2))))</f>
        <v>s1</v>
      </c>
      <c r="J347" s="1">
        <v>5</v>
      </c>
      <c r="K347" s="9"/>
      <c r="L347" s="10"/>
      <c r="M347" s="11"/>
      <c r="N347" s="12"/>
      <c r="O347" s="13"/>
      <c r="P347" s="14"/>
      <c r="Q347" s="21"/>
      <c r="R347" s="22"/>
      <c r="S347" s="23"/>
      <c r="T347" s="15"/>
      <c r="U347" s="16"/>
      <c r="W347" t="str">
        <f>IF(G347-J347-SUM(K347:U347),G347-J347-SUM(K347:U347),"")</f>
        <v/>
      </c>
    </row>
    <row r="348" spans="1:23" x14ac:dyDescent="0.2">
      <c r="A348" s="7" t="str">
        <f t="shared" si="5"/>
        <v>acspolymersau/5c00016_s2</v>
      </c>
      <c r="B348" s="7" t="s">
        <v>128</v>
      </c>
      <c r="C348" s="17" t="s">
        <v>284</v>
      </c>
      <c r="D348" s="7" t="s">
        <v>22</v>
      </c>
      <c r="E348" s="7" t="s">
        <v>55</v>
      </c>
      <c r="F348" s="7" t="s">
        <v>40</v>
      </c>
      <c r="G348" s="7">
        <v>3</v>
      </c>
      <c r="H348" s="7" t="str" cm="1">
        <f t="array" ref="H348">INDEX(_xlfn.TEXTSPLIT(INDEX(_xlfn.TEXTSPLIT(C348, "/"), 5), "."), 1)</f>
        <v>acspolymersau</v>
      </c>
      <c r="I348" s="7" t="str" cm="1">
        <f t="array" ref="I348">IF(E348="Abstract","a",LOWER(_xlfn.CONCAT(LEFT(INDEX(_xlfn.TEXTSPLIT(E348," "),1),1),INDEX(_xlfn.TEXTSPLIT(E348," "),2))))</f>
        <v>s2</v>
      </c>
      <c r="J348" s="7">
        <v>3</v>
      </c>
      <c r="K348" s="9"/>
      <c r="L348" s="10"/>
      <c r="M348" s="11"/>
      <c r="N348" s="12"/>
      <c r="O348" s="13"/>
      <c r="P348" s="14"/>
      <c r="Q348" s="21"/>
      <c r="R348" s="22"/>
      <c r="S348" s="23"/>
      <c r="T348" s="15"/>
      <c r="U348" s="16"/>
      <c r="W348" t="str">
        <f>IF(G348-J348-SUM(K348:U348),G348-J348-SUM(K348:U348),"")</f>
        <v/>
      </c>
    </row>
    <row r="349" spans="1:23" x14ac:dyDescent="0.2">
      <c r="A349" s="7" t="str">
        <f t="shared" si="5"/>
        <v>acspolymersau/5c00020_f4</v>
      </c>
      <c r="B349" s="7" t="s">
        <v>128</v>
      </c>
      <c r="C349" s="17" t="s">
        <v>285</v>
      </c>
      <c r="D349" s="7" t="s">
        <v>22</v>
      </c>
      <c r="E349" s="7" t="s">
        <v>42</v>
      </c>
      <c r="F349" s="7" t="s">
        <v>33</v>
      </c>
      <c r="G349" s="7">
        <v>1</v>
      </c>
      <c r="H349" s="7" t="str" cm="1">
        <f t="array" ref="H349">INDEX(_xlfn.TEXTSPLIT(INDEX(_xlfn.TEXTSPLIT(C349, "/"), 5), "."), 1)</f>
        <v>acspolymersau</v>
      </c>
      <c r="I349" s="7" t="str" cm="1">
        <f t="array" ref="I349">IF(E349="Abstract","a",LOWER(_xlfn.CONCAT(LEFT(INDEX(_xlfn.TEXTSPLIT(E349," "),1),1),INDEX(_xlfn.TEXTSPLIT(E349," "),2))))</f>
        <v>f4</v>
      </c>
      <c r="J349" s="7">
        <v>1</v>
      </c>
      <c r="K349" s="9"/>
      <c r="L349" s="10"/>
      <c r="M349" s="11"/>
      <c r="N349" s="12"/>
      <c r="O349" s="13"/>
      <c r="P349" s="14"/>
      <c r="Q349" s="21"/>
      <c r="R349" s="22"/>
      <c r="S349" s="23"/>
      <c r="T349" s="15"/>
      <c r="U349" s="16"/>
      <c r="W349" t="str">
        <f>IF(G349-J349-SUM(K349:U349),G349-J349-SUM(K349:U349),"")</f>
        <v/>
      </c>
    </row>
    <row r="350" spans="1:23" s="6" customFormat="1" x14ac:dyDescent="0.2">
      <c r="A350" s="8" t="str">
        <f t="shared" si="5"/>
        <v>macromolecules/401311s_s1</v>
      </c>
      <c r="B350" s="8" t="s">
        <v>286</v>
      </c>
      <c r="C350" s="20" t="s">
        <v>287</v>
      </c>
      <c r="D350" s="8" t="s">
        <v>22</v>
      </c>
      <c r="E350" s="8" t="s">
        <v>31</v>
      </c>
      <c r="F350" s="8" t="s">
        <v>24</v>
      </c>
      <c r="G350" s="8">
        <v>3</v>
      </c>
      <c r="H350" s="8" t="s">
        <v>288</v>
      </c>
      <c r="I350" s="8" t="str" cm="1">
        <f t="array" ref="I350">IF(E350="Abstract","a",LOWER(_xlfn.CONCAT(LEFT(INDEX(_xlfn.TEXTSPLIT(E350," "),1),1),INDEX(_xlfn.TEXTSPLIT(E350," "),2))))</f>
        <v>s1</v>
      </c>
      <c r="J350" s="8">
        <v>2</v>
      </c>
      <c r="K350" s="9"/>
      <c r="L350" s="10"/>
      <c r="M350" s="11"/>
      <c r="N350" s="12"/>
      <c r="O350" s="13"/>
      <c r="P350" s="14"/>
      <c r="Q350" s="21"/>
      <c r="R350" s="22"/>
      <c r="S350" s="23">
        <v>1</v>
      </c>
      <c r="T350" s="15"/>
      <c r="U350" s="16"/>
      <c r="W350" s="6" t="str">
        <f>IF(G350-J350-SUM(K350:U350),G350-J350-SUM(K350:U350),"")</f>
        <v/>
      </c>
    </row>
    <row r="351" spans="1:23" s="6" customFormat="1" x14ac:dyDescent="0.2">
      <c r="A351" s="8" t="str">
        <f t="shared" si="5"/>
        <v>macromolecules/402069b_s2</v>
      </c>
      <c r="B351" s="8" t="s">
        <v>286</v>
      </c>
      <c r="C351" s="20" t="s">
        <v>289</v>
      </c>
      <c r="D351" s="8" t="s">
        <v>22</v>
      </c>
      <c r="E351" s="8" t="s">
        <v>55</v>
      </c>
      <c r="F351" s="8" t="s">
        <v>24</v>
      </c>
      <c r="G351" s="8">
        <v>2</v>
      </c>
      <c r="H351" s="8" t="s">
        <v>288</v>
      </c>
      <c r="I351" s="8" t="str" cm="1">
        <f t="array" ref="I351">IF(E351="Abstract","a",LOWER(_xlfn.CONCAT(LEFT(INDEX(_xlfn.TEXTSPLIT(E351," "),1),1),INDEX(_xlfn.TEXTSPLIT(E351," "),2))))</f>
        <v>s2</v>
      </c>
      <c r="J351" s="8"/>
      <c r="K351" s="9"/>
      <c r="L351" s="10">
        <v>2</v>
      </c>
      <c r="M351" s="11"/>
      <c r="N351" s="12"/>
      <c r="O351" s="13"/>
      <c r="P351" s="14"/>
      <c r="Q351" s="21"/>
      <c r="R351" s="22"/>
      <c r="S351" s="23"/>
      <c r="T351" s="15"/>
      <c r="U351" s="16"/>
      <c r="W351" s="6" t="str">
        <f>IF(G351-J351-SUM(K351:U351),G351-J351-SUM(K351:U351),"")</f>
        <v/>
      </c>
    </row>
    <row r="352" spans="1:23" x14ac:dyDescent="0.2">
      <c r="A352" s="7" t="str">
        <f t="shared" si="5"/>
        <v>macromolecules/500163u_s2</v>
      </c>
      <c r="B352" s="7" t="s">
        <v>286</v>
      </c>
      <c r="C352" s="17" t="s">
        <v>290</v>
      </c>
      <c r="D352" s="7" t="s">
        <v>22</v>
      </c>
      <c r="E352" s="7" t="s">
        <v>55</v>
      </c>
      <c r="F352" s="7" t="s">
        <v>24</v>
      </c>
      <c r="G352" s="7">
        <v>4</v>
      </c>
      <c r="H352" s="7" t="s">
        <v>288</v>
      </c>
      <c r="I352" s="7" t="str" cm="1">
        <f t="array" ref="I352">IF(E352="Abstract","a",LOWER(_xlfn.CONCAT(LEFT(INDEX(_xlfn.TEXTSPLIT(E352," "),1),1),INDEX(_xlfn.TEXTSPLIT(E352," "),2))))</f>
        <v>s2</v>
      </c>
      <c r="J352" s="7">
        <v>4</v>
      </c>
      <c r="K352" s="9"/>
      <c r="L352" s="10"/>
      <c r="M352" s="11"/>
      <c r="N352" s="12"/>
      <c r="O352" s="13"/>
      <c r="P352" s="14"/>
      <c r="Q352" s="21"/>
      <c r="R352" s="22"/>
      <c r="S352" s="23"/>
      <c r="T352" s="15"/>
      <c r="U352" s="16"/>
      <c r="W352" t="str">
        <f>IF(G352-J352-SUM(K352:U352),G352-J352-SUM(K352:U352),"")</f>
        <v/>
      </c>
    </row>
    <row r="353" spans="1:23" x14ac:dyDescent="0.2">
      <c r="A353" s="7" t="str">
        <f t="shared" si="5"/>
        <v>macromolecules/501140h_f1</v>
      </c>
      <c r="B353" s="7" t="s">
        <v>286</v>
      </c>
      <c r="C353" s="17" t="s">
        <v>291</v>
      </c>
      <c r="D353" s="7" t="s">
        <v>22</v>
      </c>
      <c r="E353" s="7" t="s">
        <v>23</v>
      </c>
      <c r="F353" s="7" t="s">
        <v>24</v>
      </c>
      <c r="G353" s="7">
        <v>2</v>
      </c>
      <c r="H353" s="7" t="s">
        <v>288</v>
      </c>
      <c r="I353" s="7" t="str" cm="1">
        <f t="array" ref="I353">IF(E353="Abstract","a",LOWER(_xlfn.CONCAT(LEFT(INDEX(_xlfn.TEXTSPLIT(E353," "),1),1),INDEX(_xlfn.TEXTSPLIT(E353," "),2))))</f>
        <v>f1</v>
      </c>
      <c r="J353" s="7">
        <v>1</v>
      </c>
      <c r="K353" s="9">
        <v>1</v>
      </c>
      <c r="L353" s="10"/>
      <c r="M353" s="11"/>
      <c r="N353" s="12"/>
      <c r="O353" s="13"/>
      <c r="P353" s="14"/>
      <c r="Q353" s="21"/>
      <c r="R353" s="22"/>
      <c r="S353" s="23"/>
      <c r="T353" s="15"/>
      <c r="U353" s="16"/>
      <c r="W353" t="str">
        <f>IF(G353-J353-SUM(K353:U353),G353-J353-SUM(K353:U353),"")</f>
        <v/>
      </c>
    </row>
    <row r="354" spans="1:23" x14ac:dyDescent="0.2">
      <c r="A354" s="7" t="str">
        <f t="shared" si="5"/>
        <v>macromolecules/5014308_f1</v>
      </c>
      <c r="B354" s="7" t="s">
        <v>286</v>
      </c>
      <c r="C354" s="17" t="s">
        <v>292</v>
      </c>
      <c r="D354" s="7" t="s">
        <v>22</v>
      </c>
      <c r="E354" s="7" t="s">
        <v>23</v>
      </c>
      <c r="F354" s="7" t="s">
        <v>24</v>
      </c>
      <c r="G354" s="7">
        <v>1</v>
      </c>
      <c r="H354" s="7" t="s">
        <v>288</v>
      </c>
      <c r="I354" s="7" t="str" cm="1">
        <f t="array" ref="I354">IF(E354="Abstract","a",LOWER(_xlfn.CONCAT(LEFT(INDEX(_xlfn.TEXTSPLIT(E354," "),1),1),INDEX(_xlfn.TEXTSPLIT(E354," "),2))))</f>
        <v>f1</v>
      </c>
      <c r="J354" s="7"/>
      <c r="K354" s="9"/>
      <c r="L354" s="10"/>
      <c r="M354" s="11"/>
      <c r="N354" s="12"/>
      <c r="O354" s="13"/>
      <c r="P354" s="14"/>
      <c r="Q354" s="21"/>
      <c r="R354" s="22"/>
      <c r="S354" s="23"/>
      <c r="T354" s="15">
        <v>1</v>
      </c>
      <c r="U354" s="16"/>
      <c r="W354" t="str">
        <f>IF(G354-J354-SUM(K354:U354),G354-J354-SUM(K354:U354),"")</f>
        <v/>
      </c>
    </row>
    <row r="355" spans="1:23" x14ac:dyDescent="0.2">
      <c r="A355" s="7" t="str">
        <f t="shared" si="5"/>
        <v>macromolecules/502460t_s2</v>
      </c>
      <c r="B355" s="7" t="s">
        <v>286</v>
      </c>
      <c r="C355" s="17" t="s">
        <v>293</v>
      </c>
      <c r="D355" s="7" t="s">
        <v>22</v>
      </c>
      <c r="E355" s="7" t="s">
        <v>55</v>
      </c>
      <c r="F355" s="7" t="s">
        <v>24</v>
      </c>
      <c r="G355" s="7">
        <v>1</v>
      </c>
      <c r="H355" s="7" t="s">
        <v>288</v>
      </c>
      <c r="I355" s="7" t="str" cm="1">
        <f t="array" ref="I355">IF(E355="Abstract","a",LOWER(_xlfn.CONCAT(LEFT(INDEX(_xlfn.TEXTSPLIT(E355," "),1),1),INDEX(_xlfn.TEXTSPLIT(E355," "),2))))</f>
        <v>s2</v>
      </c>
      <c r="J355" s="7">
        <v>1</v>
      </c>
      <c r="K355" s="9"/>
      <c r="L355" s="10"/>
      <c r="M355" s="11"/>
      <c r="N355" s="12"/>
      <c r="O355" s="13"/>
      <c r="P355" s="14"/>
      <c r="Q355" s="21"/>
      <c r="R355" s="22"/>
      <c r="S355" s="23"/>
      <c r="T355" s="15"/>
      <c r="U355" s="16"/>
      <c r="W355" t="str">
        <f>IF(G355-J355-SUM(K355:U355),G355-J355-SUM(K355:U355),"")</f>
        <v/>
      </c>
    </row>
    <row r="356" spans="1:23" x14ac:dyDescent="0.2">
      <c r="A356" s="7" t="str">
        <f t="shared" si="5"/>
        <v>macromolecules/502460t_s4</v>
      </c>
      <c r="B356" s="7" t="s">
        <v>286</v>
      </c>
      <c r="C356" s="17" t="s">
        <v>293</v>
      </c>
      <c r="D356" s="7" t="s">
        <v>22</v>
      </c>
      <c r="E356" s="7" t="s">
        <v>174</v>
      </c>
      <c r="F356" s="7" t="s">
        <v>24</v>
      </c>
      <c r="G356" s="7">
        <v>1</v>
      </c>
      <c r="H356" s="7" t="s">
        <v>288</v>
      </c>
      <c r="I356" s="7" t="str" cm="1">
        <f t="array" ref="I356">IF(E356="Abstract","a",LOWER(_xlfn.CONCAT(LEFT(INDEX(_xlfn.TEXTSPLIT(E356," "),1),1),INDEX(_xlfn.TEXTSPLIT(E356," "),2))))</f>
        <v>s4</v>
      </c>
      <c r="J356" s="7">
        <v>1</v>
      </c>
      <c r="K356" s="9"/>
      <c r="L356" s="10"/>
      <c r="M356" s="11"/>
      <c r="N356" s="12"/>
      <c r="O356" s="13"/>
      <c r="P356" s="14"/>
      <c r="Q356" s="21"/>
      <c r="R356" s="22"/>
      <c r="S356" s="23"/>
      <c r="T356" s="15"/>
      <c r="U356" s="16"/>
      <c r="W356" t="str">
        <f>IF(G356-J356-SUM(K356:U356),G356-J356-SUM(K356:U356),"")</f>
        <v/>
      </c>
    </row>
    <row r="357" spans="1:23" x14ac:dyDescent="0.2">
      <c r="A357" s="7" t="str">
        <f t="shared" si="5"/>
        <v>macromolecules/502542g_a</v>
      </c>
      <c r="B357" s="7" t="s">
        <v>286</v>
      </c>
      <c r="C357" s="17" t="s">
        <v>294</v>
      </c>
      <c r="D357" s="7" t="s">
        <v>22</v>
      </c>
      <c r="E357" s="7" t="s">
        <v>47</v>
      </c>
      <c r="F357" s="7" t="s">
        <v>24</v>
      </c>
      <c r="G357" s="7">
        <v>1</v>
      </c>
      <c r="H357" s="7" t="s">
        <v>288</v>
      </c>
      <c r="I357" s="7" t="str" cm="1">
        <f t="array" ref="I357">IF(E357="Abstract","a",LOWER(_xlfn.CONCAT(LEFT(INDEX(_xlfn.TEXTSPLIT(E357," "),1),1),INDEX(_xlfn.TEXTSPLIT(E357," "),2))))</f>
        <v>a</v>
      </c>
      <c r="J357" s="7">
        <v>1</v>
      </c>
      <c r="K357" s="9"/>
      <c r="L357" s="10"/>
      <c r="M357" s="11"/>
      <c r="N357" s="12"/>
      <c r="O357" s="13"/>
      <c r="P357" s="14"/>
      <c r="Q357" s="21"/>
      <c r="R357" s="22"/>
      <c r="S357" s="23"/>
      <c r="T357" s="15"/>
      <c r="U357" s="16"/>
      <c r="W357" t="str">
        <f>IF(G357-J357-SUM(K357:U357),G357-J357-SUM(K357:U357),"")</f>
        <v/>
      </c>
    </row>
    <row r="358" spans="1:23" x14ac:dyDescent="0.2">
      <c r="A358" s="7" t="str">
        <f t="shared" si="5"/>
        <v>macromolecules/502542g_f1</v>
      </c>
      <c r="B358" s="7" t="s">
        <v>286</v>
      </c>
      <c r="C358" s="17" t="s">
        <v>294</v>
      </c>
      <c r="D358" s="7" t="s">
        <v>22</v>
      </c>
      <c r="E358" s="7" t="s">
        <v>23</v>
      </c>
      <c r="F358" s="7" t="s">
        <v>24</v>
      </c>
      <c r="G358" s="7">
        <v>1</v>
      </c>
      <c r="H358" s="7" t="s">
        <v>288</v>
      </c>
      <c r="I358" s="7" t="str" cm="1">
        <f t="array" ref="I358">IF(E358="Abstract","a",LOWER(_xlfn.CONCAT(LEFT(INDEX(_xlfn.TEXTSPLIT(E358," "),1),1),INDEX(_xlfn.TEXTSPLIT(E358," "),2))))</f>
        <v>f1</v>
      </c>
      <c r="J358" s="7">
        <v>1</v>
      </c>
      <c r="K358" s="9"/>
      <c r="L358" s="10"/>
      <c r="M358" s="11"/>
      <c r="N358" s="12"/>
      <c r="O358" s="13"/>
      <c r="P358" s="14"/>
      <c r="Q358" s="21"/>
      <c r="R358" s="22"/>
      <c r="S358" s="23"/>
      <c r="T358" s="15"/>
      <c r="U358" s="16"/>
      <c r="W358" t="str">
        <f>IF(G358-J358-SUM(K358:U358),G358-J358-SUM(K358:U358),"")</f>
        <v/>
      </c>
    </row>
    <row r="359" spans="1:23" x14ac:dyDescent="0.2">
      <c r="A359" s="7" t="str">
        <f t="shared" si="5"/>
        <v>macromolecules/5b00435_s1</v>
      </c>
      <c r="B359" s="7" t="s">
        <v>286</v>
      </c>
      <c r="C359" s="17" t="s">
        <v>295</v>
      </c>
      <c r="D359" s="7" t="s">
        <v>22</v>
      </c>
      <c r="E359" s="7" t="s">
        <v>31</v>
      </c>
      <c r="F359" s="7" t="s">
        <v>24</v>
      </c>
      <c r="G359" s="7">
        <v>2</v>
      </c>
      <c r="H359" s="7" t="s">
        <v>288</v>
      </c>
      <c r="I359" s="7" t="str" cm="1">
        <f t="array" ref="I359">IF(E359="Abstract","a",LOWER(_xlfn.CONCAT(LEFT(INDEX(_xlfn.TEXTSPLIT(E359," "),1),1),INDEX(_xlfn.TEXTSPLIT(E359," "),2))))</f>
        <v>s1</v>
      </c>
      <c r="J359" s="7">
        <v>1</v>
      </c>
      <c r="K359" s="9"/>
      <c r="L359" s="10"/>
      <c r="M359" s="11">
        <v>1</v>
      </c>
      <c r="N359" s="12"/>
      <c r="O359" s="13"/>
      <c r="P359" s="14"/>
      <c r="Q359" s="21"/>
      <c r="R359" s="22"/>
      <c r="S359" s="23"/>
      <c r="T359" s="15"/>
      <c r="U359" s="16"/>
      <c r="W359" t="str">
        <f>IF(G359-J359-SUM(K359:U359),G359-J359-SUM(K359:U359),"")</f>
        <v/>
      </c>
    </row>
    <row r="360" spans="1:23" x14ac:dyDescent="0.2">
      <c r="A360" s="7" t="str">
        <f t="shared" si="5"/>
        <v>macromolecules/5b01293_f1</v>
      </c>
      <c r="B360" s="7" t="s">
        <v>286</v>
      </c>
      <c r="C360" s="17" t="s">
        <v>296</v>
      </c>
      <c r="D360" s="7" t="s">
        <v>22</v>
      </c>
      <c r="E360" s="7" t="s">
        <v>23</v>
      </c>
      <c r="F360" s="7" t="s">
        <v>24</v>
      </c>
      <c r="G360" s="7">
        <v>2</v>
      </c>
      <c r="H360" s="7" t="s">
        <v>288</v>
      </c>
      <c r="I360" s="7" t="str" cm="1">
        <f t="array" ref="I360">IF(E360="Abstract","a",LOWER(_xlfn.CONCAT(LEFT(INDEX(_xlfn.TEXTSPLIT(E360," "),1),1),INDEX(_xlfn.TEXTSPLIT(E360," "),2))))</f>
        <v>f1</v>
      </c>
      <c r="J360" s="7">
        <v>2</v>
      </c>
      <c r="K360" s="9"/>
      <c r="L360" s="10"/>
      <c r="M360" s="11"/>
      <c r="N360" s="12"/>
      <c r="O360" s="13"/>
      <c r="P360" s="14"/>
      <c r="Q360" s="21"/>
      <c r="R360" s="22"/>
      <c r="S360" s="23"/>
      <c r="T360" s="15"/>
      <c r="U360" s="16"/>
      <c r="W360" t="str">
        <f>IF(G360-J360-SUM(K360:U360),G360-J360-SUM(K360:U360),"")</f>
        <v/>
      </c>
    </row>
    <row r="361" spans="1:23" x14ac:dyDescent="0.2">
      <c r="A361" s="7" t="str">
        <f t="shared" si="5"/>
        <v>macromolecules/5b01293_f2</v>
      </c>
      <c r="B361" s="7" t="s">
        <v>286</v>
      </c>
      <c r="C361" s="17" t="s">
        <v>296</v>
      </c>
      <c r="D361" s="7" t="s">
        <v>22</v>
      </c>
      <c r="E361" s="7" t="s">
        <v>29</v>
      </c>
      <c r="F361" s="7" t="s">
        <v>24</v>
      </c>
      <c r="G361" s="7">
        <v>1</v>
      </c>
      <c r="H361" s="7" t="s">
        <v>288</v>
      </c>
      <c r="I361" s="7" t="str" cm="1">
        <f t="array" ref="I361">IF(E361="Abstract","a",LOWER(_xlfn.CONCAT(LEFT(INDEX(_xlfn.TEXTSPLIT(E361," "),1),1),INDEX(_xlfn.TEXTSPLIT(E361," "),2))))</f>
        <v>f2</v>
      </c>
      <c r="J361" s="7">
        <v>1</v>
      </c>
      <c r="K361" s="9"/>
      <c r="L361" s="10"/>
      <c r="M361" s="11"/>
      <c r="N361" s="12"/>
      <c r="O361" s="13"/>
      <c r="P361" s="14"/>
      <c r="Q361" s="21"/>
      <c r="R361" s="22"/>
      <c r="S361" s="23"/>
      <c r="T361" s="15"/>
      <c r="U361" s="16"/>
      <c r="W361" t="str">
        <f>IF(G361-J361-SUM(K361:U361),G361-J361-SUM(K361:U361),"")</f>
        <v/>
      </c>
    </row>
    <row r="362" spans="1:23" x14ac:dyDescent="0.2">
      <c r="A362" s="7" t="str">
        <f t="shared" si="5"/>
        <v>macromolecules/5b01293_f5</v>
      </c>
      <c r="B362" s="7" t="s">
        <v>286</v>
      </c>
      <c r="C362" s="17" t="s">
        <v>296</v>
      </c>
      <c r="D362" s="7" t="s">
        <v>22</v>
      </c>
      <c r="E362" s="7" t="s">
        <v>80</v>
      </c>
      <c r="F362" s="7" t="s">
        <v>24</v>
      </c>
      <c r="G362" s="7">
        <v>1</v>
      </c>
      <c r="H362" s="7" t="s">
        <v>288</v>
      </c>
      <c r="I362" s="7" t="str" cm="1">
        <f t="array" ref="I362">IF(E362="Abstract","a",LOWER(_xlfn.CONCAT(LEFT(INDEX(_xlfn.TEXTSPLIT(E362," "),1),1),INDEX(_xlfn.TEXTSPLIT(E362," "),2))))</f>
        <v>f5</v>
      </c>
      <c r="J362" s="7">
        <v>1</v>
      </c>
      <c r="K362" s="9"/>
      <c r="L362" s="10"/>
      <c r="M362" s="11"/>
      <c r="N362" s="12"/>
      <c r="O362" s="13"/>
      <c r="P362" s="14"/>
      <c r="Q362" s="21"/>
      <c r="R362" s="22"/>
      <c r="S362" s="23"/>
      <c r="T362" s="15"/>
      <c r="U362" s="16"/>
      <c r="W362" t="str">
        <f>IF(G362-J362-SUM(K362:U362),G362-J362-SUM(K362:U362),"")</f>
        <v/>
      </c>
    </row>
    <row r="363" spans="1:23" x14ac:dyDescent="0.2">
      <c r="A363" s="7" t="str">
        <f t="shared" si="5"/>
        <v>macromolecules/5b01293_f6</v>
      </c>
      <c r="B363" s="7" t="s">
        <v>286</v>
      </c>
      <c r="C363" s="17" t="s">
        <v>296</v>
      </c>
      <c r="D363" s="7" t="s">
        <v>22</v>
      </c>
      <c r="E363" s="7" t="s">
        <v>138</v>
      </c>
      <c r="F363" s="7" t="s">
        <v>24</v>
      </c>
      <c r="G363" s="7">
        <v>2</v>
      </c>
      <c r="H363" s="7" t="s">
        <v>288</v>
      </c>
      <c r="I363" s="7" t="str" cm="1">
        <f t="array" ref="I363">IF(E363="Abstract","a",LOWER(_xlfn.CONCAT(LEFT(INDEX(_xlfn.TEXTSPLIT(E363," "),1),1),INDEX(_xlfn.TEXTSPLIT(E363," "),2))))</f>
        <v>f6</v>
      </c>
      <c r="J363" s="7">
        <v>1</v>
      </c>
      <c r="K363" s="9">
        <v>1</v>
      </c>
      <c r="L363" s="10"/>
      <c r="M363" s="11"/>
      <c r="N363" s="12"/>
      <c r="O363" s="13"/>
      <c r="P363" s="14"/>
      <c r="Q363" s="21"/>
      <c r="R363" s="22"/>
      <c r="S363" s="23"/>
      <c r="T363" s="15"/>
      <c r="U363" s="16"/>
      <c r="W363" t="str">
        <f>IF(G363-J363-SUM(K363:U363),G363-J363-SUM(K363:U363),"")</f>
        <v/>
      </c>
    </row>
    <row r="364" spans="1:23" x14ac:dyDescent="0.2">
      <c r="A364" s="7" t="str">
        <f t="shared" si="5"/>
        <v>macromolecules/5b01293_f8</v>
      </c>
      <c r="B364" s="7" t="s">
        <v>286</v>
      </c>
      <c r="C364" s="17" t="s">
        <v>296</v>
      </c>
      <c r="D364" s="7" t="s">
        <v>22</v>
      </c>
      <c r="E364" s="7" t="s">
        <v>206</v>
      </c>
      <c r="F364" s="7" t="s">
        <v>24</v>
      </c>
      <c r="G364" s="7">
        <v>1</v>
      </c>
      <c r="H364" s="7" t="s">
        <v>288</v>
      </c>
      <c r="I364" s="7" t="str" cm="1">
        <f t="array" ref="I364">IF(E364="Abstract","a",LOWER(_xlfn.CONCAT(LEFT(INDEX(_xlfn.TEXTSPLIT(E364," "),1),1),INDEX(_xlfn.TEXTSPLIT(E364," "),2))))</f>
        <v>f8</v>
      </c>
      <c r="J364" s="7">
        <v>1</v>
      </c>
      <c r="K364" s="9"/>
      <c r="L364" s="10"/>
      <c r="M364" s="11"/>
      <c r="N364" s="12"/>
      <c r="O364" s="13"/>
      <c r="P364" s="14"/>
      <c r="Q364" s="21"/>
      <c r="R364" s="22"/>
      <c r="S364" s="23"/>
      <c r="T364" s="15"/>
      <c r="U364" s="16"/>
      <c r="W364" t="str">
        <f>IF(G364-J364-SUM(K364:U364),G364-J364-SUM(K364:U364),"")</f>
        <v/>
      </c>
    </row>
    <row r="365" spans="1:23" x14ac:dyDescent="0.2">
      <c r="A365" s="7" t="str">
        <f t="shared" si="5"/>
        <v>macromolecules/5b01426_f1</v>
      </c>
      <c r="B365" s="7" t="s">
        <v>286</v>
      </c>
      <c r="C365" s="17" t="s">
        <v>297</v>
      </c>
      <c r="D365" s="7" t="s">
        <v>22</v>
      </c>
      <c r="E365" s="7" t="s">
        <v>23</v>
      </c>
      <c r="F365" s="7" t="s">
        <v>24</v>
      </c>
      <c r="G365" s="7">
        <v>1</v>
      </c>
      <c r="H365" s="7" t="s">
        <v>288</v>
      </c>
      <c r="I365" s="7" t="str" cm="1">
        <f t="array" ref="I365">IF(E365="Abstract","a",LOWER(_xlfn.CONCAT(LEFT(INDEX(_xlfn.TEXTSPLIT(E365," "),1),1),INDEX(_xlfn.TEXTSPLIT(E365," "),2))))</f>
        <v>f1</v>
      </c>
      <c r="J365" s="7">
        <v>0</v>
      </c>
      <c r="K365" s="9">
        <v>1</v>
      </c>
      <c r="L365" s="10"/>
      <c r="M365" s="11"/>
      <c r="N365" s="12"/>
      <c r="O365" s="13"/>
      <c r="P365" s="14"/>
      <c r="Q365" s="21"/>
      <c r="R365" s="22"/>
      <c r="S365" s="23"/>
      <c r="T365" s="15"/>
      <c r="U365" s="16"/>
      <c r="W365" t="str">
        <f>IF(G365-J365-SUM(K365:U365),G365-J365-SUM(K365:U365),"")</f>
        <v/>
      </c>
    </row>
    <row r="366" spans="1:23" x14ac:dyDescent="0.2">
      <c r="A366" s="7" t="str">
        <f t="shared" si="5"/>
        <v>macromolecules/5b01994_s2</v>
      </c>
      <c r="B366" s="7" t="s">
        <v>286</v>
      </c>
      <c r="C366" s="17" t="s">
        <v>298</v>
      </c>
      <c r="D366" s="7" t="s">
        <v>22</v>
      </c>
      <c r="E366" s="7" t="s">
        <v>55</v>
      </c>
      <c r="F366" s="7" t="s">
        <v>24</v>
      </c>
      <c r="G366" s="7">
        <v>1</v>
      </c>
      <c r="H366" s="7" t="s">
        <v>288</v>
      </c>
      <c r="I366" s="7" t="str" cm="1">
        <f t="array" ref="I366">IF(E366="Abstract","a",LOWER(_xlfn.CONCAT(LEFT(INDEX(_xlfn.TEXTSPLIT(E366," "),1),1),INDEX(_xlfn.TEXTSPLIT(E366," "),2))))</f>
        <v>s2</v>
      </c>
      <c r="J366" s="7">
        <v>1</v>
      </c>
      <c r="K366" s="9"/>
      <c r="L366" s="10"/>
      <c r="M366" s="11"/>
      <c r="N366" s="12"/>
      <c r="O366" s="13"/>
      <c r="P366" s="14"/>
      <c r="Q366" s="21"/>
      <c r="R366" s="22"/>
      <c r="S366" s="23"/>
      <c r="T366" s="15"/>
      <c r="U366" s="16"/>
      <c r="W366" t="str">
        <f>IF(G366-J366-SUM(K366:U366),G366-J366-SUM(K366:U366),"")</f>
        <v/>
      </c>
    </row>
    <row r="367" spans="1:23" x14ac:dyDescent="0.2">
      <c r="A367" s="7" t="str">
        <f t="shared" si="5"/>
        <v>macromolecules/5b02119_f1</v>
      </c>
      <c r="B367" s="7" t="s">
        <v>286</v>
      </c>
      <c r="C367" s="17" t="s">
        <v>299</v>
      </c>
      <c r="D367" s="7" t="s">
        <v>22</v>
      </c>
      <c r="E367" s="7" t="s">
        <v>23</v>
      </c>
      <c r="F367" s="7" t="s">
        <v>24</v>
      </c>
      <c r="G367" s="7">
        <v>2</v>
      </c>
      <c r="H367" s="7" t="s">
        <v>288</v>
      </c>
      <c r="I367" s="7" t="str" cm="1">
        <f t="array" ref="I367">IF(E367="Abstract","a",LOWER(_xlfn.CONCAT(LEFT(INDEX(_xlfn.TEXTSPLIT(E367," "),1),1),INDEX(_xlfn.TEXTSPLIT(E367," "),2))))</f>
        <v>f1</v>
      </c>
      <c r="J367" s="7">
        <v>1</v>
      </c>
      <c r="K367" s="9">
        <v>1</v>
      </c>
      <c r="L367" s="10"/>
      <c r="M367" s="11"/>
      <c r="N367" s="12"/>
      <c r="O367" s="13"/>
      <c r="P367" s="14"/>
      <c r="Q367" s="21"/>
      <c r="R367" s="22"/>
      <c r="S367" s="23"/>
      <c r="T367" s="15"/>
      <c r="U367" s="16"/>
      <c r="W367" t="str">
        <f>IF(G367-J367-SUM(K367:U367),G367-J367-SUM(K367:U367),"")</f>
        <v/>
      </c>
    </row>
    <row r="368" spans="1:23" x14ac:dyDescent="0.2">
      <c r="A368" s="7" t="str">
        <f t="shared" si="5"/>
        <v>macromolecules/5b02119_f3</v>
      </c>
      <c r="B368" s="7" t="s">
        <v>286</v>
      </c>
      <c r="C368" s="17" t="s">
        <v>299</v>
      </c>
      <c r="D368" s="7" t="s">
        <v>22</v>
      </c>
      <c r="E368" s="7" t="s">
        <v>44</v>
      </c>
      <c r="F368" s="7" t="s">
        <v>24</v>
      </c>
      <c r="G368" s="7">
        <v>2</v>
      </c>
      <c r="H368" s="7" t="s">
        <v>288</v>
      </c>
      <c r="I368" s="7" t="str" cm="1">
        <f t="array" ref="I368">IF(E368="Abstract","a",LOWER(_xlfn.CONCAT(LEFT(INDEX(_xlfn.TEXTSPLIT(E368," "),1),1),INDEX(_xlfn.TEXTSPLIT(E368," "),2))))</f>
        <v>f3</v>
      </c>
      <c r="J368" s="7">
        <v>1</v>
      </c>
      <c r="K368" s="9">
        <v>1</v>
      </c>
      <c r="L368" s="10"/>
      <c r="M368" s="11"/>
      <c r="N368" s="12"/>
      <c r="O368" s="13"/>
      <c r="P368" s="14"/>
      <c r="Q368" s="21"/>
      <c r="R368" s="22"/>
      <c r="S368" s="23"/>
      <c r="T368" s="15"/>
      <c r="U368" s="16"/>
      <c r="W368" t="str">
        <f>IF(G368-J368-SUM(K368:U368),G368-J368-SUM(K368:U368),"")</f>
        <v/>
      </c>
    </row>
    <row r="369" spans="1:23" x14ac:dyDescent="0.2">
      <c r="A369" s="7" t="str">
        <f t="shared" si="5"/>
        <v>macromolecules/5b02152_s1</v>
      </c>
      <c r="B369" s="7" t="s">
        <v>286</v>
      </c>
      <c r="C369" s="17" t="s">
        <v>300</v>
      </c>
      <c r="D369" s="7" t="s">
        <v>22</v>
      </c>
      <c r="E369" s="7" t="s">
        <v>31</v>
      </c>
      <c r="F369" s="7" t="s">
        <v>24</v>
      </c>
      <c r="G369" s="7">
        <v>7</v>
      </c>
      <c r="H369" s="7" t="s">
        <v>288</v>
      </c>
      <c r="I369" s="7" t="str" cm="1">
        <f t="array" ref="I369">IF(E369="Abstract","a",LOWER(_xlfn.CONCAT(LEFT(INDEX(_xlfn.TEXTSPLIT(E369," "),1),1),INDEX(_xlfn.TEXTSPLIT(E369," "),2))))</f>
        <v>s1</v>
      </c>
      <c r="J369" s="7">
        <v>3</v>
      </c>
      <c r="K369" s="9">
        <v>4</v>
      </c>
      <c r="L369" s="10"/>
      <c r="M369" s="11"/>
      <c r="N369" s="12"/>
      <c r="O369" s="13"/>
      <c r="P369" s="14"/>
      <c r="Q369" s="21"/>
      <c r="R369" s="22"/>
      <c r="S369" s="23"/>
      <c r="T369" s="15"/>
      <c r="U369" s="16"/>
      <c r="W369" t="str">
        <f>IF(G369-J369-SUM(K369:U369),G369-J369-SUM(K369:U369),"")</f>
        <v/>
      </c>
    </row>
    <row r="370" spans="1:23" x14ac:dyDescent="0.2">
      <c r="A370" s="7" t="str">
        <f t="shared" si="5"/>
        <v>macromolecules/5b02212_s1</v>
      </c>
      <c r="B370" s="7" t="s">
        <v>286</v>
      </c>
      <c r="C370" s="17" t="s">
        <v>301</v>
      </c>
      <c r="D370" s="7" t="s">
        <v>22</v>
      </c>
      <c r="E370" s="7" t="s">
        <v>31</v>
      </c>
      <c r="F370" s="7" t="s">
        <v>24</v>
      </c>
      <c r="G370" s="7">
        <v>4</v>
      </c>
      <c r="H370" s="7" t="s">
        <v>288</v>
      </c>
      <c r="I370" s="7" t="str" cm="1">
        <f t="array" ref="I370">IF(E370="Abstract","a",LOWER(_xlfn.CONCAT(LEFT(INDEX(_xlfn.TEXTSPLIT(E370," "),1),1),INDEX(_xlfn.TEXTSPLIT(E370," "),2))))</f>
        <v>s1</v>
      </c>
      <c r="J370" s="7">
        <v>2</v>
      </c>
      <c r="K370" s="9">
        <v>2</v>
      </c>
      <c r="L370" s="10"/>
      <c r="M370" s="11"/>
      <c r="N370" s="12"/>
      <c r="O370" s="13"/>
      <c r="P370" s="14"/>
      <c r="Q370" s="21"/>
      <c r="R370" s="22"/>
      <c r="S370" s="23"/>
      <c r="T370" s="15"/>
      <c r="U370" s="16"/>
      <c r="W370" t="str">
        <f>IF(G370-J370-SUM(K370:U370),G370-J370-SUM(K370:U370),"")</f>
        <v/>
      </c>
    </row>
    <row r="371" spans="1:23" x14ac:dyDescent="0.2">
      <c r="A371" s="7" t="str">
        <f t="shared" si="5"/>
        <v>macromolecules/5b02267_a</v>
      </c>
      <c r="B371" s="7" t="s">
        <v>286</v>
      </c>
      <c r="C371" s="17" t="s">
        <v>302</v>
      </c>
      <c r="D371" s="7" t="s">
        <v>22</v>
      </c>
      <c r="E371" s="7" t="s">
        <v>47</v>
      </c>
      <c r="F371" s="7" t="s">
        <v>24</v>
      </c>
      <c r="G371" s="7">
        <v>6</v>
      </c>
      <c r="H371" s="7" t="s">
        <v>288</v>
      </c>
      <c r="I371" s="7" t="str" cm="1">
        <f t="array" ref="I371">IF(E371="Abstract","a",LOWER(_xlfn.CONCAT(LEFT(INDEX(_xlfn.TEXTSPLIT(E371," "),1),1),INDEX(_xlfn.TEXTSPLIT(E371," "),2))))</f>
        <v>a</v>
      </c>
      <c r="J371" s="7"/>
      <c r="K371" s="9"/>
      <c r="L371" s="10"/>
      <c r="M371" s="11"/>
      <c r="N371" s="12"/>
      <c r="O371" s="13"/>
      <c r="P371" s="14"/>
      <c r="Q371" s="21"/>
      <c r="R371" s="22"/>
      <c r="S371" s="23"/>
      <c r="T371" s="15">
        <v>6</v>
      </c>
      <c r="U371" s="16"/>
      <c r="W371" t="str">
        <f>IF(G371-J371-SUM(K371:U371),G371-J371-SUM(K371:U371),"")</f>
        <v/>
      </c>
    </row>
    <row r="372" spans="1:23" x14ac:dyDescent="0.2">
      <c r="A372" s="7" t="str">
        <f t="shared" si="5"/>
        <v>macromolecules/5b02267_s2</v>
      </c>
      <c r="B372" s="7" t="s">
        <v>286</v>
      </c>
      <c r="C372" s="17" t="s">
        <v>302</v>
      </c>
      <c r="D372" s="7" t="s">
        <v>22</v>
      </c>
      <c r="E372" s="7" t="s">
        <v>55</v>
      </c>
      <c r="F372" s="7" t="s">
        <v>24</v>
      </c>
      <c r="G372" s="7">
        <v>1</v>
      </c>
      <c r="H372" s="7" t="s">
        <v>288</v>
      </c>
      <c r="I372" s="7" t="str" cm="1">
        <f t="array" ref="I372">IF(E372="Abstract","a",LOWER(_xlfn.CONCAT(LEFT(INDEX(_xlfn.TEXTSPLIT(E372," "),1),1),INDEX(_xlfn.TEXTSPLIT(E372," "),2))))</f>
        <v>s2</v>
      </c>
      <c r="J372" s="7"/>
      <c r="K372" s="9"/>
      <c r="L372" s="10"/>
      <c r="M372" s="11"/>
      <c r="N372" s="12"/>
      <c r="O372" s="13"/>
      <c r="P372" s="14"/>
      <c r="Q372" s="21"/>
      <c r="R372" s="22"/>
      <c r="S372" s="23"/>
      <c r="T372" s="15">
        <v>1</v>
      </c>
      <c r="U372" s="16"/>
      <c r="W372" t="str">
        <f>IF(G372-J372-SUM(K372:U372),G372-J372-SUM(K372:U372),"")</f>
        <v/>
      </c>
    </row>
    <row r="373" spans="1:23" x14ac:dyDescent="0.2">
      <c r="A373" s="7" t="str">
        <f t="shared" si="5"/>
        <v>macromolecules/5b02385_a</v>
      </c>
      <c r="B373" s="7" t="s">
        <v>286</v>
      </c>
      <c r="C373" s="17" t="s">
        <v>303</v>
      </c>
      <c r="D373" s="7" t="s">
        <v>22</v>
      </c>
      <c r="E373" s="7" t="s">
        <v>47</v>
      </c>
      <c r="F373" s="7" t="s">
        <v>24</v>
      </c>
      <c r="G373" s="7">
        <v>1</v>
      </c>
      <c r="H373" s="7" t="s">
        <v>288</v>
      </c>
      <c r="I373" s="7" t="str" cm="1">
        <f t="array" ref="I373">IF(E373="Abstract","a",LOWER(_xlfn.CONCAT(LEFT(INDEX(_xlfn.TEXTSPLIT(E373," "),1),1),INDEX(_xlfn.TEXTSPLIT(E373," "),2))))</f>
        <v>a</v>
      </c>
      <c r="J373" s="7">
        <v>1</v>
      </c>
      <c r="K373" s="9"/>
      <c r="L373" s="10"/>
      <c r="M373" s="11"/>
      <c r="N373" s="12"/>
      <c r="O373" s="13"/>
      <c r="P373" s="14"/>
      <c r="Q373" s="21"/>
      <c r="R373" s="22"/>
      <c r="S373" s="23"/>
      <c r="T373" s="15"/>
      <c r="U373" s="16"/>
      <c r="W373" t="str">
        <f>IF(G373-J373-SUM(K373:U373),G373-J373-SUM(K373:U373),"")</f>
        <v/>
      </c>
    </row>
    <row r="374" spans="1:23" x14ac:dyDescent="0.2">
      <c r="A374" s="7" t="str">
        <f t="shared" si="5"/>
        <v>macromolecules/5b02385_s1</v>
      </c>
      <c r="B374" s="7" t="s">
        <v>286</v>
      </c>
      <c r="C374" s="17" t="s">
        <v>303</v>
      </c>
      <c r="D374" s="7" t="s">
        <v>22</v>
      </c>
      <c r="E374" s="7" t="s">
        <v>31</v>
      </c>
      <c r="F374" s="7" t="s">
        <v>24</v>
      </c>
      <c r="G374" s="7">
        <v>1</v>
      </c>
      <c r="H374" s="7" t="s">
        <v>288</v>
      </c>
      <c r="I374" s="7" t="str" cm="1">
        <f t="array" ref="I374">IF(E374="Abstract","a",LOWER(_xlfn.CONCAT(LEFT(INDEX(_xlfn.TEXTSPLIT(E374," "),1),1),INDEX(_xlfn.TEXTSPLIT(E374," "),2))))</f>
        <v>s1</v>
      </c>
      <c r="J374" s="7">
        <v>1</v>
      </c>
      <c r="K374" s="9"/>
      <c r="L374" s="10"/>
      <c r="M374" s="11"/>
      <c r="N374" s="12"/>
      <c r="O374" s="13"/>
      <c r="P374" s="14"/>
      <c r="Q374" s="21"/>
      <c r="R374" s="22"/>
      <c r="S374" s="23"/>
      <c r="T374" s="15"/>
      <c r="U374" s="16"/>
      <c r="W374" t="str">
        <f>IF(G374-J374-SUM(K374:U374),G374-J374-SUM(K374:U374),"")</f>
        <v/>
      </c>
    </row>
    <row r="375" spans="1:23" x14ac:dyDescent="0.2">
      <c r="A375" s="7" t="str">
        <f t="shared" si="5"/>
        <v>macromolecules/5b02470_f1</v>
      </c>
      <c r="B375" s="7" t="s">
        <v>286</v>
      </c>
      <c r="C375" s="17" t="s">
        <v>304</v>
      </c>
      <c r="D375" s="7" t="s">
        <v>22</v>
      </c>
      <c r="E375" s="7" t="s">
        <v>23</v>
      </c>
      <c r="F375" s="7" t="s">
        <v>24</v>
      </c>
      <c r="G375" s="7">
        <v>2</v>
      </c>
      <c r="H375" s="7" t="s">
        <v>288</v>
      </c>
      <c r="I375" s="7" t="str" cm="1">
        <f t="array" ref="I375">IF(E375="Abstract","a",LOWER(_xlfn.CONCAT(LEFT(INDEX(_xlfn.TEXTSPLIT(E375," "),1),1),INDEX(_xlfn.TEXTSPLIT(E375," "),2))))</f>
        <v>f1</v>
      </c>
      <c r="J375" s="7">
        <v>1</v>
      </c>
      <c r="K375" s="9">
        <v>1</v>
      </c>
      <c r="L375" s="10"/>
      <c r="M375" s="11"/>
      <c r="N375" s="12"/>
      <c r="O375" s="13"/>
      <c r="P375" s="14"/>
      <c r="Q375" s="21"/>
      <c r="R375" s="22"/>
      <c r="S375" s="23"/>
      <c r="T375" s="15"/>
      <c r="U375" s="16"/>
      <c r="W375" t="str">
        <f>IF(G375-J375-SUM(K375:U375),G375-J375-SUM(K375:U375),"")</f>
        <v/>
      </c>
    </row>
    <row r="376" spans="1:23" x14ac:dyDescent="0.2">
      <c r="A376" s="7" t="str">
        <f t="shared" si="5"/>
        <v>macromolecules/5b02594_s1</v>
      </c>
      <c r="B376" s="7" t="s">
        <v>286</v>
      </c>
      <c r="C376" s="17" t="s">
        <v>305</v>
      </c>
      <c r="D376" s="7" t="s">
        <v>22</v>
      </c>
      <c r="E376" s="7" t="s">
        <v>31</v>
      </c>
      <c r="F376" s="7" t="s">
        <v>24</v>
      </c>
      <c r="G376" s="7">
        <v>1</v>
      </c>
      <c r="H376" s="7" t="s">
        <v>288</v>
      </c>
      <c r="I376" s="7" t="str" cm="1">
        <f t="array" ref="I376">IF(E376="Abstract","a",LOWER(_xlfn.CONCAT(LEFT(INDEX(_xlfn.TEXTSPLIT(E376," "),1),1),INDEX(_xlfn.TEXTSPLIT(E376," "),2))))</f>
        <v>s1</v>
      </c>
      <c r="J376" s="7"/>
      <c r="K376" s="9"/>
      <c r="L376" s="10">
        <v>1</v>
      </c>
      <c r="M376" s="11"/>
      <c r="N376" s="12"/>
      <c r="O376" s="13"/>
      <c r="P376" s="14"/>
      <c r="Q376" s="21"/>
      <c r="R376" s="22"/>
      <c r="S376" s="23"/>
      <c r="T376" s="15"/>
      <c r="U376" s="16"/>
      <c r="W376" t="str">
        <f>IF(G376-J376-SUM(K376:U376),G376-J376-SUM(K376:U376),"")</f>
        <v/>
      </c>
    </row>
    <row r="377" spans="1:23" x14ac:dyDescent="0.2">
      <c r="A377" s="7" t="str">
        <f t="shared" si="5"/>
        <v>macromolecules/5b02602_f2</v>
      </c>
      <c r="B377" s="7" t="s">
        <v>286</v>
      </c>
      <c r="C377" s="17" t="s">
        <v>306</v>
      </c>
      <c r="D377" s="7" t="s">
        <v>22</v>
      </c>
      <c r="E377" s="7" t="s">
        <v>29</v>
      </c>
      <c r="F377" s="7" t="s">
        <v>24</v>
      </c>
      <c r="G377" s="7">
        <v>21</v>
      </c>
      <c r="H377" s="7" t="s">
        <v>288</v>
      </c>
      <c r="I377" s="7" t="str" cm="1">
        <f t="array" ref="I377">IF(E377="Abstract","a",LOWER(_xlfn.CONCAT(LEFT(INDEX(_xlfn.TEXTSPLIT(E377," "),1),1),INDEX(_xlfn.TEXTSPLIT(E377," "),2))))</f>
        <v>f2</v>
      </c>
      <c r="J377" s="7">
        <v>10</v>
      </c>
      <c r="K377" s="9">
        <v>3</v>
      </c>
      <c r="L377" s="10"/>
      <c r="M377" s="11">
        <v>8</v>
      </c>
      <c r="N377" s="12"/>
      <c r="O377" s="13"/>
      <c r="P377" s="14"/>
      <c r="Q377" s="21"/>
      <c r="R377" s="22"/>
      <c r="S377" s="23"/>
      <c r="T377" s="15"/>
      <c r="U377" s="16"/>
      <c r="W377" t="str">
        <f>IF(G377-J377-SUM(K377:U377),G377-J377-SUM(K377:U377),"")</f>
        <v/>
      </c>
    </row>
    <row r="378" spans="1:23" x14ac:dyDescent="0.2">
      <c r="A378" s="7" t="str">
        <f t="shared" si="5"/>
        <v>macromolecules/5b02602_s2</v>
      </c>
      <c r="B378" s="7" t="s">
        <v>286</v>
      </c>
      <c r="C378" s="17" t="s">
        <v>306</v>
      </c>
      <c r="D378" s="7" t="s">
        <v>22</v>
      </c>
      <c r="E378" s="7" t="s">
        <v>55</v>
      </c>
      <c r="F378" s="7" t="s">
        <v>24</v>
      </c>
      <c r="G378" s="7">
        <v>7</v>
      </c>
      <c r="H378" s="7" t="s">
        <v>288</v>
      </c>
      <c r="I378" s="7" t="str" cm="1">
        <f t="array" ref="I378">IF(E378="Abstract","a",LOWER(_xlfn.CONCAT(LEFT(INDEX(_xlfn.TEXTSPLIT(E378," "),1),1),INDEX(_xlfn.TEXTSPLIT(E378," "),2))))</f>
        <v>s2</v>
      </c>
      <c r="J378" s="7">
        <v>3</v>
      </c>
      <c r="K378" s="9">
        <v>4</v>
      </c>
      <c r="L378" s="10"/>
      <c r="M378" s="11"/>
      <c r="N378" s="12"/>
      <c r="O378" s="13"/>
      <c r="P378" s="14"/>
      <c r="Q378" s="21"/>
      <c r="R378" s="22"/>
      <c r="S378" s="23"/>
      <c r="T378" s="15"/>
      <c r="U378" s="16"/>
      <c r="W378" t="str">
        <f>IF(G378-J378-SUM(K378:U378),G378-J378-SUM(K378:U378),"")</f>
        <v/>
      </c>
    </row>
    <row r="379" spans="1:23" x14ac:dyDescent="0.2">
      <c r="A379" s="7" t="str">
        <f t="shared" si="5"/>
        <v>macromolecules/5b02710_f2</v>
      </c>
      <c r="B379" s="7" t="s">
        <v>286</v>
      </c>
      <c r="C379" s="17" t="s">
        <v>307</v>
      </c>
      <c r="D379" s="7" t="s">
        <v>22</v>
      </c>
      <c r="E379" s="7" t="s">
        <v>29</v>
      </c>
      <c r="F379" s="7" t="s">
        <v>24</v>
      </c>
      <c r="G379" s="7">
        <v>1</v>
      </c>
      <c r="H379" s="7" t="s">
        <v>288</v>
      </c>
      <c r="I379" s="7" t="str" cm="1">
        <f t="array" ref="I379">IF(E379="Abstract","a",LOWER(_xlfn.CONCAT(LEFT(INDEX(_xlfn.TEXTSPLIT(E379," "),1),1),INDEX(_xlfn.TEXTSPLIT(E379," "),2))))</f>
        <v>f2</v>
      </c>
      <c r="J379" s="7"/>
      <c r="K379" s="9"/>
      <c r="L379" s="10"/>
      <c r="M379" s="11"/>
      <c r="N379" s="12"/>
      <c r="O379" s="13"/>
      <c r="P379" s="14"/>
      <c r="Q379" s="21">
        <v>1</v>
      </c>
      <c r="R379" s="22"/>
      <c r="S379" s="23"/>
      <c r="T379" s="15"/>
      <c r="U379" s="16"/>
      <c r="W379" t="str">
        <f>IF(G379-J379-SUM(K379:U379),G379-J379-SUM(K379:U379),"")</f>
        <v/>
      </c>
    </row>
    <row r="380" spans="1:23" x14ac:dyDescent="0.2">
      <c r="A380" s="7" t="str">
        <f t="shared" si="5"/>
        <v>macromolecules/5b02710_s1</v>
      </c>
      <c r="B380" s="7" t="s">
        <v>286</v>
      </c>
      <c r="C380" s="17" t="s">
        <v>307</v>
      </c>
      <c r="D380" s="7" t="s">
        <v>22</v>
      </c>
      <c r="E380" s="7" t="s">
        <v>31</v>
      </c>
      <c r="F380" s="7" t="s">
        <v>24</v>
      </c>
      <c r="G380" s="7">
        <v>3</v>
      </c>
      <c r="H380" s="7" t="s">
        <v>288</v>
      </c>
      <c r="I380" s="7" t="str" cm="1">
        <f t="array" ref="I380">IF(E380="Abstract","a",LOWER(_xlfn.CONCAT(LEFT(INDEX(_xlfn.TEXTSPLIT(E380," "),1),1),INDEX(_xlfn.TEXTSPLIT(E380," "),2))))</f>
        <v>s1</v>
      </c>
      <c r="J380" s="7"/>
      <c r="K380" s="9"/>
      <c r="L380" s="10">
        <v>2</v>
      </c>
      <c r="M380" s="11"/>
      <c r="N380" s="12"/>
      <c r="O380" s="13"/>
      <c r="P380" s="14"/>
      <c r="Q380" s="21">
        <v>1</v>
      </c>
      <c r="R380" s="22"/>
      <c r="S380" s="23"/>
      <c r="T380" s="15"/>
      <c r="U380" s="16"/>
      <c r="W380" t="str">
        <f>IF(G380-J380-SUM(K380:U380),G380-J380-SUM(K380:U380),"")</f>
        <v/>
      </c>
    </row>
    <row r="381" spans="1:23" x14ac:dyDescent="0.2">
      <c r="A381" s="7" t="str">
        <f t="shared" si="5"/>
        <v>macromolecules/5b02710_s2</v>
      </c>
      <c r="B381" s="7" t="s">
        <v>286</v>
      </c>
      <c r="C381" s="17" t="s">
        <v>307</v>
      </c>
      <c r="D381" s="7" t="s">
        <v>22</v>
      </c>
      <c r="E381" s="7" t="s">
        <v>55</v>
      </c>
      <c r="F381" s="7" t="s">
        <v>24</v>
      </c>
      <c r="G381" s="7">
        <v>2</v>
      </c>
      <c r="H381" s="7" t="s">
        <v>288</v>
      </c>
      <c r="I381" s="7" t="str" cm="1">
        <f t="array" ref="I381">IF(E381="Abstract","a",LOWER(_xlfn.CONCAT(LEFT(INDEX(_xlfn.TEXTSPLIT(E381," "),1),1),INDEX(_xlfn.TEXTSPLIT(E381," "),2))))</f>
        <v>s2</v>
      </c>
      <c r="J381" s="7"/>
      <c r="K381" s="9"/>
      <c r="L381" s="10">
        <v>1</v>
      </c>
      <c r="M381" s="11"/>
      <c r="N381" s="12"/>
      <c r="O381" s="13">
        <v>1</v>
      </c>
      <c r="P381" s="14"/>
      <c r="Q381" s="21"/>
      <c r="R381" s="22"/>
      <c r="S381" s="23"/>
      <c r="T381" s="15"/>
      <c r="U381" s="16"/>
      <c r="W381" t="str">
        <f>IF(G381-J381-SUM(K381:U381),G381-J381-SUM(K381:U381),"")</f>
        <v/>
      </c>
    </row>
    <row r="382" spans="1:23" x14ac:dyDescent="0.2">
      <c r="A382" s="7" t="str">
        <f t="shared" si="5"/>
        <v>macromolecules/6b00422_f1</v>
      </c>
      <c r="B382" s="7" t="s">
        <v>286</v>
      </c>
      <c r="C382" s="17" t="s">
        <v>308</v>
      </c>
      <c r="D382" s="7" t="s">
        <v>22</v>
      </c>
      <c r="E382" s="7" t="s">
        <v>23</v>
      </c>
      <c r="F382" s="7" t="s">
        <v>24</v>
      </c>
      <c r="G382" s="7">
        <v>2</v>
      </c>
      <c r="H382" s="7" t="s">
        <v>288</v>
      </c>
      <c r="I382" s="7" t="str" cm="1">
        <f t="array" ref="I382">IF(E382="Abstract","a",LOWER(_xlfn.CONCAT(LEFT(INDEX(_xlfn.TEXTSPLIT(E382," "),1),1),INDEX(_xlfn.TEXTSPLIT(E382," "),2))))</f>
        <v>f1</v>
      </c>
      <c r="J382" s="7">
        <v>1</v>
      </c>
      <c r="K382" s="9">
        <v>1</v>
      </c>
      <c r="L382" s="10"/>
      <c r="M382" s="11"/>
      <c r="N382" s="12"/>
      <c r="O382" s="13"/>
      <c r="P382" s="14"/>
      <c r="Q382" s="21"/>
      <c r="R382" s="22"/>
      <c r="S382" s="23"/>
      <c r="T382" s="15"/>
      <c r="U382" s="16"/>
      <c r="W382" t="str">
        <f>IF(G382-J382-SUM(K382:U382),G382-J382-SUM(K382:U382),"")</f>
        <v/>
      </c>
    </row>
    <row r="383" spans="1:23" x14ac:dyDescent="0.2">
      <c r="A383" s="7" t="str">
        <f t="shared" si="5"/>
        <v>macromolecules/6b00422_f6</v>
      </c>
      <c r="B383" s="7" t="s">
        <v>286</v>
      </c>
      <c r="C383" s="17" t="s">
        <v>308</v>
      </c>
      <c r="D383" s="7" t="s">
        <v>22</v>
      </c>
      <c r="E383" s="7" t="s">
        <v>138</v>
      </c>
      <c r="F383" s="7" t="s">
        <v>24</v>
      </c>
      <c r="G383" s="7">
        <v>2</v>
      </c>
      <c r="H383" s="7" t="s">
        <v>288</v>
      </c>
      <c r="I383" s="7" t="str" cm="1">
        <f t="array" ref="I383">IF(E383="Abstract","a",LOWER(_xlfn.CONCAT(LEFT(INDEX(_xlfn.TEXTSPLIT(E383," "),1),1),INDEX(_xlfn.TEXTSPLIT(E383," "),2))))</f>
        <v>f6</v>
      </c>
      <c r="J383" s="7">
        <v>2</v>
      </c>
      <c r="K383" s="9"/>
      <c r="L383" s="10"/>
      <c r="M383" s="11"/>
      <c r="N383" s="12"/>
      <c r="O383" s="13"/>
      <c r="P383" s="14"/>
      <c r="Q383" s="21"/>
      <c r="R383" s="22"/>
      <c r="S383" s="23"/>
      <c r="T383" s="15"/>
      <c r="U383" s="16"/>
      <c r="W383" t="str">
        <f>IF(G383-J383-SUM(K383:U383),G383-J383-SUM(K383:U383),"")</f>
        <v/>
      </c>
    </row>
    <row r="384" spans="1:23" x14ac:dyDescent="0.2">
      <c r="A384" s="7" t="str">
        <f t="shared" si="5"/>
        <v>macromolecules/6b00820_s1</v>
      </c>
      <c r="B384" s="7" t="s">
        <v>286</v>
      </c>
      <c r="C384" s="17" t="s">
        <v>309</v>
      </c>
      <c r="D384" s="7" t="s">
        <v>22</v>
      </c>
      <c r="E384" s="7" t="s">
        <v>31</v>
      </c>
      <c r="F384" s="7" t="s">
        <v>24</v>
      </c>
      <c r="G384" s="7">
        <v>2</v>
      </c>
      <c r="H384" s="7" t="s">
        <v>288</v>
      </c>
      <c r="I384" s="7" t="str" cm="1">
        <f t="array" ref="I384">IF(E384="Abstract","a",LOWER(_xlfn.CONCAT(LEFT(INDEX(_xlfn.TEXTSPLIT(E384," "),1),1),INDEX(_xlfn.TEXTSPLIT(E384," "),2))))</f>
        <v>s1</v>
      </c>
      <c r="J384" s="7">
        <v>1</v>
      </c>
      <c r="K384" s="9">
        <v>1</v>
      </c>
      <c r="L384" s="10"/>
      <c r="M384" s="11"/>
      <c r="N384" s="12"/>
      <c r="O384" s="13"/>
      <c r="P384" s="14"/>
      <c r="Q384" s="21"/>
      <c r="R384" s="22"/>
      <c r="S384" s="23"/>
      <c r="T384" s="15"/>
      <c r="U384" s="16"/>
      <c r="W384" t="str">
        <f>IF(G384-J384-SUM(K384:U384),G384-J384-SUM(K384:U384),"")</f>
        <v/>
      </c>
    </row>
    <row r="385" spans="1:23" x14ac:dyDescent="0.2">
      <c r="A385" s="7" t="str">
        <f t="shared" si="5"/>
        <v>macromolecules/6b00820_s2</v>
      </c>
      <c r="B385" s="7" t="s">
        <v>286</v>
      </c>
      <c r="C385" s="17" t="s">
        <v>309</v>
      </c>
      <c r="D385" s="7" t="s">
        <v>22</v>
      </c>
      <c r="E385" s="7" t="s">
        <v>55</v>
      </c>
      <c r="F385" s="7" t="s">
        <v>24</v>
      </c>
      <c r="G385" s="7">
        <v>2</v>
      </c>
      <c r="H385" s="7" t="s">
        <v>288</v>
      </c>
      <c r="I385" s="7" t="str" cm="1">
        <f t="array" ref="I385">IF(E385="Abstract","a",LOWER(_xlfn.CONCAT(LEFT(INDEX(_xlfn.TEXTSPLIT(E385," "),1),1),INDEX(_xlfn.TEXTSPLIT(E385," "),2))))</f>
        <v>s2</v>
      </c>
      <c r="J385" s="7">
        <v>1</v>
      </c>
      <c r="K385" s="9">
        <v>1</v>
      </c>
      <c r="L385" s="10"/>
      <c r="M385" s="11"/>
      <c r="N385" s="12"/>
      <c r="O385" s="13"/>
      <c r="P385" s="14"/>
      <c r="Q385" s="21"/>
      <c r="R385" s="22"/>
      <c r="S385" s="23"/>
      <c r="T385" s="15"/>
      <c r="U385" s="16"/>
      <c r="W385" t="str">
        <f>IF(G385-J385-SUM(K385:U385),G385-J385-SUM(K385:U385),"")</f>
        <v/>
      </c>
    </row>
    <row r="386" spans="1:23" x14ac:dyDescent="0.2">
      <c r="A386" s="7" t="str">
        <f t="shared" ref="A386:A421" si="6">_xlfn.CONCAT(H386, "/",RIGHT(C386,7),"_",IF(D386="SI","si_",""), I386)</f>
        <v>macromolecules/6b00987_f2</v>
      </c>
      <c r="B386" s="7" t="s">
        <v>286</v>
      </c>
      <c r="C386" s="17" t="s">
        <v>310</v>
      </c>
      <c r="D386" s="7" t="s">
        <v>22</v>
      </c>
      <c r="E386" s="7" t="s">
        <v>29</v>
      </c>
      <c r="F386" s="7" t="s">
        <v>24</v>
      </c>
      <c r="G386" s="7">
        <v>2</v>
      </c>
      <c r="H386" s="7" t="s">
        <v>288</v>
      </c>
      <c r="I386" s="7" t="str" cm="1">
        <f t="array" ref="I386">IF(E386="Abstract","a",LOWER(_xlfn.CONCAT(LEFT(INDEX(_xlfn.TEXTSPLIT(E386," "),1),1),INDEX(_xlfn.TEXTSPLIT(E386," "),2))))</f>
        <v>f2</v>
      </c>
      <c r="J386" s="7">
        <v>1</v>
      </c>
      <c r="K386" s="9">
        <v>1</v>
      </c>
      <c r="L386" s="10"/>
      <c r="M386" s="11"/>
      <c r="N386" s="12"/>
      <c r="O386" s="13"/>
      <c r="P386" s="14"/>
      <c r="Q386" s="21"/>
      <c r="R386" s="22"/>
      <c r="S386" s="23"/>
      <c r="T386" s="15"/>
      <c r="U386" s="16"/>
      <c r="W386" t="str">
        <f>IF(G386-J386-SUM(K386:U386),G386-J386-SUM(K386:U386),"")</f>
        <v/>
      </c>
    </row>
    <row r="387" spans="1:23" x14ac:dyDescent="0.2">
      <c r="A387" s="7" t="str">
        <f t="shared" si="6"/>
        <v>macromolecules/6b01563_s1</v>
      </c>
      <c r="B387" s="7" t="s">
        <v>286</v>
      </c>
      <c r="C387" s="17" t="s">
        <v>311</v>
      </c>
      <c r="D387" s="7" t="s">
        <v>22</v>
      </c>
      <c r="E387" s="7" t="s">
        <v>31</v>
      </c>
      <c r="F387" s="7" t="s">
        <v>24</v>
      </c>
      <c r="G387" s="3">
        <v>1</v>
      </c>
      <c r="H387" s="3" t="s">
        <v>288</v>
      </c>
      <c r="I387" s="3" t="str" cm="1">
        <f t="array" ref="I387">IF(E387="Abstract","a",LOWER(_xlfn.CONCAT(LEFT(INDEX(_xlfn.TEXTSPLIT(E387," "),1),1),INDEX(_xlfn.TEXTSPLIT(E387," "),2))))</f>
        <v>s1</v>
      </c>
      <c r="J387" s="3">
        <v>1</v>
      </c>
      <c r="K387" s="9"/>
      <c r="L387" s="10"/>
      <c r="M387" s="11"/>
      <c r="N387" s="12"/>
      <c r="O387" s="13"/>
      <c r="P387" s="14"/>
      <c r="Q387" s="21"/>
      <c r="R387" s="22"/>
      <c r="S387" s="23"/>
      <c r="T387" s="15"/>
      <c r="U387" s="16"/>
      <c r="W387" t="str">
        <f>IF(G387-J387-SUM(K387:U387),G387-J387-SUM(K387:U387),"")</f>
        <v/>
      </c>
    </row>
    <row r="388" spans="1:23" x14ac:dyDescent="0.2">
      <c r="A388" s="7" t="str">
        <f t="shared" si="6"/>
        <v>macromolecules/6b01729_f1</v>
      </c>
      <c r="B388" s="7" t="s">
        <v>286</v>
      </c>
      <c r="C388" s="17" t="s">
        <v>312</v>
      </c>
      <c r="D388" s="7" t="s">
        <v>22</v>
      </c>
      <c r="E388" s="7" t="s">
        <v>23</v>
      </c>
      <c r="F388" s="7" t="s">
        <v>24</v>
      </c>
      <c r="G388" s="7">
        <v>4</v>
      </c>
      <c r="H388" s="7" t="s">
        <v>288</v>
      </c>
      <c r="I388" s="7" t="str" cm="1">
        <f t="array" ref="I388">IF(E388="Abstract","a",LOWER(_xlfn.CONCAT(LEFT(INDEX(_xlfn.TEXTSPLIT(E388," "),1),1),INDEX(_xlfn.TEXTSPLIT(E388," "),2))))</f>
        <v>f1</v>
      </c>
      <c r="J388" s="7">
        <v>1</v>
      </c>
      <c r="K388" s="9">
        <v>3</v>
      </c>
      <c r="L388" s="10"/>
      <c r="M388" s="11"/>
      <c r="N388" s="12"/>
      <c r="O388" s="13"/>
      <c r="P388" s="14"/>
      <c r="Q388" s="21"/>
      <c r="R388" s="22"/>
      <c r="S388" s="23"/>
      <c r="T388" s="15"/>
      <c r="U388" s="16"/>
      <c r="W388" t="str">
        <f>IF(G388-J388-SUM(K388:U388),G388-J388-SUM(K388:U388),"")</f>
        <v/>
      </c>
    </row>
    <row r="389" spans="1:23" x14ac:dyDescent="0.2">
      <c r="A389" s="7" t="str">
        <f t="shared" si="6"/>
        <v>macromolecules/6b01963_s1</v>
      </c>
      <c r="B389" s="7" t="s">
        <v>286</v>
      </c>
      <c r="C389" s="17" t="s">
        <v>313</v>
      </c>
      <c r="D389" s="7" t="s">
        <v>22</v>
      </c>
      <c r="E389" s="7" t="s">
        <v>31</v>
      </c>
      <c r="F389" s="7" t="s">
        <v>24</v>
      </c>
      <c r="G389" s="7">
        <v>5</v>
      </c>
      <c r="H389" s="7" t="s">
        <v>288</v>
      </c>
      <c r="I389" s="7" t="str" cm="1">
        <f t="array" ref="I389">IF(E389="Abstract","a",LOWER(_xlfn.CONCAT(LEFT(INDEX(_xlfn.TEXTSPLIT(E389," "),1),1),INDEX(_xlfn.TEXTSPLIT(E389," "),2))))</f>
        <v>s1</v>
      </c>
      <c r="J389" s="7">
        <v>2</v>
      </c>
      <c r="K389" s="9">
        <v>3</v>
      </c>
      <c r="L389" s="10"/>
      <c r="M389" s="11"/>
      <c r="N389" s="12"/>
      <c r="O389" s="13"/>
      <c r="P389" s="14"/>
      <c r="Q389" s="21"/>
      <c r="R389" s="22"/>
      <c r="S389" s="23"/>
      <c r="T389" s="15"/>
      <c r="U389" s="16"/>
      <c r="W389" t="str">
        <f>IF(G389-J389-SUM(K389:U389),G389-J389-SUM(K389:U389),"")</f>
        <v/>
      </c>
    </row>
    <row r="390" spans="1:23" x14ac:dyDescent="0.2">
      <c r="A390" s="7" t="str">
        <f t="shared" si="6"/>
        <v>macromolecules/6b01963_s2</v>
      </c>
      <c r="B390" s="7" t="s">
        <v>286</v>
      </c>
      <c r="C390" s="17" t="s">
        <v>313</v>
      </c>
      <c r="D390" s="7" t="s">
        <v>22</v>
      </c>
      <c r="E390" s="7" t="s">
        <v>55</v>
      </c>
      <c r="F390" s="7" t="s">
        <v>24</v>
      </c>
      <c r="G390" s="7">
        <v>1</v>
      </c>
      <c r="H390" s="7" t="s">
        <v>288</v>
      </c>
      <c r="I390" s="7" t="str" cm="1">
        <f t="array" ref="I390">IF(E390="Abstract","a",LOWER(_xlfn.CONCAT(LEFT(INDEX(_xlfn.TEXTSPLIT(E390," "),1),1),INDEX(_xlfn.TEXTSPLIT(E390," "),2))))</f>
        <v>s2</v>
      </c>
      <c r="J390" s="7"/>
      <c r="K390" s="9">
        <v>1</v>
      </c>
      <c r="L390" s="10"/>
      <c r="M390" s="11"/>
      <c r="N390" s="12"/>
      <c r="O390" s="13"/>
      <c r="P390" s="14"/>
      <c r="Q390" s="21"/>
      <c r="R390" s="22"/>
      <c r="S390" s="23"/>
      <c r="T390" s="15"/>
      <c r="U390" s="16"/>
      <c r="W390" t="str">
        <f>IF(G390-J390-SUM(K390:U390),G390-J390-SUM(K390:U390),"")</f>
        <v/>
      </c>
    </row>
    <row r="391" spans="1:23" x14ac:dyDescent="0.2">
      <c r="A391" s="7" t="str">
        <f t="shared" si="6"/>
        <v>macromolecules/6b02309_s1</v>
      </c>
      <c r="B391" s="7" t="s">
        <v>286</v>
      </c>
      <c r="C391" s="17" t="s">
        <v>314</v>
      </c>
      <c r="D391" s="7" t="s">
        <v>22</v>
      </c>
      <c r="E391" s="7" t="s">
        <v>31</v>
      </c>
      <c r="F391" s="7" t="s">
        <v>24</v>
      </c>
      <c r="G391" s="7">
        <v>2</v>
      </c>
      <c r="H391" s="7" t="s">
        <v>288</v>
      </c>
      <c r="I391" s="7" t="str" cm="1">
        <f t="array" ref="I391">IF(E391="Abstract","a",LOWER(_xlfn.CONCAT(LEFT(INDEX(_xlfn.TEXTSPLIT(E391," "),1),1),INDEX(_xlfn.TEXTSPLIT(E391," "),2))))</f>
        <v>s1</v>
      </c>
      <c r="J391" s="7">
        <v>1</v>
      </c>
      <c r="K391" s="9">
        <v>1</v>
      </c>
      <c r="L391" s="10"/>
      <c r="M391" s="11"/>
      <c r="N391" s="12"/>
      <c r="O391" s="13"/>
      <c r="P391" s="14"/>
      <c r="Q391" s="21"/>
      <c r="R391" s="22"/>
      <c r="S391" s="23"/>
      <c r="T391" s="15"/>
      <c r="U391" s="16"/>
      <c r="W391" t="str">
        <f>IF(G391-J391-SUM(K391:U391),G391-J391-SUM(K391:U391),"")</f>
        <v/>
      </c>
    </row>
    <row r="392" spans="1:23" x14ac:dyDescent="0.2">
      <c r="A392" s="7" t="str">
        <f t="shared" si="6"/>
        <v>macromolecules/6b02643_f5</v>
      </c>
      <c r="B392" s="7" t="s">
        <v>286</v>
      </c>
      <c r="C392" s="17" t="s">
        <v>315</v>
      </c>
      <c r="D392" s="7" t="s">
        <v>22</v>
      </c>
      <c r="E392" s="7" t="s">
        <v>80</v>
      </c>
      <c r="F392" s="7" t="s">
        <v>24</v>
      </c>
      <c r="G392" s="7">
        <v>2</v>
      </c>
      <c r="H392" s="7" t="s">
        <v>288</v>
      </c>
      <c r="I392" s="7" t="str" cm="1">
        <f t="array" ref="I392">IF(E392="Abstract","a",LOWER(_xlfn.CONCAT(LEFT(INDEX(_xlfn.TEXTSPLIT(E392," "),1),1),INDEX(_xlfn.TEXTSPLIT(E392," "),2))))</f>
        <v>f5</v>
      </c>
      <c r="J392" s="7">
        <v>2</v>
      </c>
      <c r="K392" s="9"/>
      <c r="L392" s="10"/>
      <c r="M392" s="11"/>
      <c r="N392" s="12"/>
      <c r="O392" s="13"/>
      <c r="P392" s="14"/>
      <c r="Q392" s="21"/>
      <c r="R392" s="22"/>
      <c r="S392" s="23"/>
      <c r="T392" s="15"/>
      <c r="U392" s="16"/>
      <c r="W392" t="str">
        <f>IF(G392-J392-SUM(K392:U392),G392-J392-SUM(K392:U392),"")</f>
        <v/>
      </c>
    </row>
    <row r="393" spans="1:23" x14ac:dyDescent="0.2">
      <c r="A393" s="7" t="str">
        <f t="shared" si="6"/>
        <v>macromolecules/6b02643_f6</v>
      </c>
      <c r="B393" s="7" t="s">
        <v>286</v>
      </c>
      <c r="C393" s="17" t="s">
        <v>315</v>
      </c>
      <c r="D393" s="7" t="s">
        <v>22</v>
      </c>
      <c r="E393" s="7" t="s">
        <v>138</v>
      </c>
      <c r="F393" s="7" t="s">
        <v>24</v>
      </c>
      <c r="G393" s="7">
        <v>2</v>
      </c>
      <c r="H393" s="7" t="s">
        <v>288</v>
      </c>
      <c r="I393" s="7" t="str" cm="1">
        <f t="array" ref="I393">IF(E393="Abstract","a",LOWER(_xlfn.CONCAT(LEFT(INDEX(_xlfn.TEXTSPLIT(E393," "),1),1),INDEX(_xlfn.TEXTSPLIT(E393," "),2))))</f>
        <v>f6</v>
      </c>
      <c r="J393" s="7"/>
      <c r="K393" s="9">
        <v>2</v>
      </c>
      <c r="L393" s="10"/>
      <c r="M393" s="11"/>
      <c r="N393" s="12"/>
      <c r="O393" s="13"/>
      <c r="P393" s="14"/>
      <c r="Q393" s="21"/>
      <c r="R393" s="22"/>
      <c r="S393" s="23"/>
      <c r="T393" s="15"/>
      <c r="U393" s="16"/>
      <c r="W393" t="str">
        <f>IF(G393-J393-SUM(K393:U393),G393-J393-SUM(K393:U393),"")</f>
        <v/>
      </c>
    </row>
    <row r="394" spans="1:23" x14ac:dyDescent="0.2">
      <c r="A394" s="7" t="str">
        <f t="shared" si="6"/>
        <v>macromolecules/6b02643_s1</v>
      </c>
      <c r="B394" s="7" t="s">
        <v>286</v>
      </c>
      <c r="C394" s="17" t="s">
        <v>315</v>
      </c>
      <c r="D394" s="7" t="s">
        <v>22</v>
      </c>
      <c r="E394" s="7" t="s">
        <v>31</v>
      </c>
      <c r="F394" s="7" t="s">
        <v>24</v>
      </c>
      <c r="G394" s="7">
        <v>2</v>
      </c>
      <c r="H394" s="7" t="s">
        <v>288</v>
      </c>
      <c r="I394" s="7" t="str" cm="1">
        <f t="array" ref="I394">IF(E394="Abstract","a",LOWER(_xlfn.CONCAT(LEFT(INDEX(_xlfn.TEXTSPLIT(E394," "),1),1),INDEX(_xlfn.TEXTSPLIT(E394," "),2))))</f>
        <v>s1</v>
      </c>
      <c r="J394" s="7">
        <v>1</v>
      </c>
      <c r="K394" s="9">
        <v>1</v>
      </c>
      <c r="L394" s="10"/>
      <c r="M394" s="11"/>
      <c r="N394" s="12"/>
      <c r="O394" s="13"/>
      <c r="P394" s="14"/>
      <c r="Q394" s="21"/>
      <c r="R394" s="22"/>
      <c r="S394" s="23"/>
      <c r="T394" s="15"/>
      <c r="U394" s="16"/>
      <c r="W394" t="str">
        <f>IF(G394-J394-SUM(K394:U394),G394-J394-SUM(K394:U394),"")</f>
        <v/>
      </c>
    </row>
    <row r="395" spans="1:23" x14ac:dyDescent="0.2">
      <c r="A395" s="7" t="str">
        <f t="shared" si="6"/>
        <v>macromolecules/6b02643_s2</v>
      </c>
      <c r="B395" s="7" t="s">
        <v>286</v>
      </c>
      <c r="C395" s="17" t="s">
        <v>315</v>
      </c>
      <c r="D395" s="7" t="s">
        <v>22</v>
      </c>
      <c r="E395" s="7" t="s">
        <v>55</v>
      </c>
      <c r="F395" s="7" t="s">
        <v>24</v>
      </c>
      <c r="G395" s="7">
        <v>2</v>
      </c>
      <c r="H395" s="7" t="s">
        <v>288</v>
      </c>
      <c r="I395" s="7" t="str" cm="1">
        <f t="array" ref="I395">IF(E395="Abstract","a",LOWER(_xlfn.CONCAT(LEFT(INDEX(_xlfn.TEXTSPLIT(E395," "),1),1),INDEX(_xlfn.TEXTSPLIT(E395," "),2))))</f>
        <v>s2</v>
      </c>
      <c r="J395" s="7">
        <v>1</v>
      </c>
      <c r="K395" s="9">
        <v>1</v>
      </c>
      <c r="L395" s="10"/>
      <c r="M395" s="11"/>
      <c r="N395" s="12"/>
      <c r="O395" s="13"/>
      <c r="P395" s="14"/>
      <c r="Q395" s="21"/>
      <c r="R395" s="22"/>
      <c r="S395" s="23"/>
      <c r="T395" s="15"/>
      <c r="U395" s="16"/>
      <c r="W395" t="str">
        <f>IF(G395-J395-SUM(K395:U395),G395-J395-SUM(K395:U395),"")</f>
        <v/>
      </c>
    </row>
    <row r="396" spans="1:23" x14ac:dyDescent="0.2">
      <c r="A396" s="7" t="str">
        <f t="shared" si="6"/>
        <v>macromolecules/6b02727_a</v>
      </c>
      <c r="B396" s="7" t="s">
        <v>286</v>
      </c>
      <c r="C396" s="17" t="s">
        <v>316</v>
      </c>
      <c r="D396" s="7" t="s">
        <v>22</v>
      </c>
      <c r="E396" s="7" t="s">
        <v>47</v>
      </c>
      <c r="F396" s="7" t="s">
        <v>24</v>
      </c>
      <c r="G396" s="7">
        <v>2</v>
      </c>
      <c r="H396" s="7" t="s">
        <v>288</v>
      </c>
      <c r="I396" s="7" t="str" cm="1">
        <f t="array" ref="I396">IF(E396="Abstract","a",LOWER(_xlfn.CONCAT(LEFT(INDEX(_xlfn.TEXTSPLIT(E396," "),1),1),INDEX(_xlfn.TEXTSPLIT(E396," "),2))))</f>
        <v>a</v>
      </c>
      <c r="J396" s="7">
        <v>1</v>
      </c>
      <c r="K396" s="9"/>
      <c r="L396" s="10"/>
      <c r="M396" s="11"/>
      <c r="N396" s="12">
        <v>1</v>
      </c>
      <c r="O396" s="13"/>
      <c r="P396" s="14"/>
      <c r="Q396" s="21"/>
      <c r="R396" s="22"/>
      <c r="S396" s="23"/>
      <c r="T396" s="15"/>
      <c r="U396" s="16"/>
      <c r="W396" t="str">
        <f>IF(G396-J396-SUM(K396:U396),G396-J396-SUM(K396:U396),"")</f>
        <v/>
      </c>
    </row>
    <row r="397" spans="1:23" s="6" customFormat="1" x14ac:dyDescent="0.2">
      <c r="A397" s="8" t="str">
        <f t="shared" si="6"/>
        <v>macromolecules/7b00319_f1</v>
      </c>
      <c r="B397" s="8" t="s">
        <v>286</v>
      </c>
      <c r="C397" s="20" t="s">
        <v>317</v>
      </c>
      <c r="D397" s="8" t="s">
        <v>22</v>
      </c>
      <c r="E397" s="8" t="s">
        <v>23</v>
      </c>
      <c r="F397" s="8" t="s">
        <v>26</v>
      </c>
      <c r="G397" s="8">
        <v>3</v>
      </c>
      <c r="H397" s="8" t="s">
        <v>288</v>
      </c>
      <c r="I397" s="8" t="str" cm="1">
        <f t="array" ref="I397">IF(E397="Abstract","a",LOWER(_xlfn.CONCAT(LEFT(INDEX(_xlfn.TEXTSPLIT(E397," "),1),1),INDEX(_xlfn.TEXTSPLIT(E397," "),2))))</f>
        <v>f1</v>
      </c>
      <c r="J397" s="8">
        <v>1</v>
      </c>
      <c r="K397" s="9"/>
      <c r="L397" s="10"/>
      <c r="M397" s="11"/>
      <c r="N397" s="12"/>
      <c r="O397" s="13"/>
      <c r="P397" s="14"/>
      <c r="Q397" s="21"/>
      <c r="R397" s="22"/>
      <c r="S397" s="23"/>
      <c r="T397" s="15"/>
      <c r="U397" s="16">
        <v>2</v>
      </c>
      <c r="W397" s="6" t="str">
        <f>IF(G397-J397-SUM(K397:U397),G397-J397-SUM(K397:U397),"")</f>
        <v/>
      </c>
    </row>
    <row r="398" spans="1:23" x14ac:dyDescent="0.2">
      <c r="A398" s="7" t="str">
        <f t="shared" si="6"/>
        <v>macromolecules/7b00475_f1</v>
      </c>
      <c r="B398" s="7" t="s">
        <v>286</v>
      </c>
      <c r="C398" s="17" t="s">
        <v>318</v>
      </c>
      <c r="D398" s="7" t="s">
        <v>22</v>
      </c>
      <c r="E398" s="7" t="s">
        <v>23</v>
      </c>
      <c r="F398" s="7" t="s">
        <v>24</v>
      </c>
      <c r="G398" s="7">
        <v>1</v>
      </c>
      <c r="H398" s="7" t="s">
        <v>288</v>
      </c>
      <c r="I398" s="7" t="str" cm="1">
        <f t="array" ref="I398">IF(E398="Abstract","a",LOWER(_xlfn.CONCAT(LEFT(INDEX(_xlfn.TEXTSPLIT(E398," "),1),1),INDEX(_xlfn.TEXTSPLIT(E398," "),2))))</f>
        <v>f1</v>
      </c>
      <c r="J398" s="7"/>
      <c r="K398" s="9">
        <v>1</v>
      </c>
      <c r="L398" s="10"/>
      <c r="M398" s="11"/>
      <c r="N398" s="12"/>
      <c r="O398" s="13"/>
      <c r="P398" s="14"/>
      <c r="Q398" s="21"/>
      <c r="R398" s="22"/>
      <c r="S398" s="23"/>
      <c r="T398" s="15"/>
      <c r="U398" s="16"/>
      <c r="W398" t="str">
        <f>IF(G398-J398-SUM(K398:U398),G398-J398-SUM(K398:U398),"")</f>
        <v/>
      </c>
    </row>
    <row r="399" spans="1:23" x14ac:dyDescent="0.2">
      <c r="A399" s="7" t="str">
        <f t="shared" si="6"/>
        <v>macromolecules/7b01005_f1</v>
      </c>
      <c r="B399" s="7" t="s">
        <v>286</v>
      </c>
      <c r="C399" s="17" t="s">
        <v>319</v>
      </c>
      <c r="D399" s="7" t="s">
        <v>22</v>
      </c>
      <c r="E399" s="7" t="s">
        <v>23</v>
      </c>
      <c r="F399" s="7" t="s">
        <v>24</v>
      </c>
      <c r="G399" s="7">
        <v>1</v>
      </c>
      <c r="H399" s="7" t="s">
        <v>288</v>
      </c>
      <c r="I399" s="7" t="str" cm="1">
        <f t="array" ref="I399">IF(E399="Abstract","a",LOWER(_xlfn.CONCAT(LEFT(INDEX(_xlfn.TEXTSPLIT(E399," "),1),1),INDEX(_xlfn.TEXTSPLIT(E399," "),2))))</f>
        <v>f1</v>
      </c>
      <c r="J399" s="7"/>
      <c r="K399" s="9"/>
      <c r="L399" s="10"/>
      <c r="M399" s="11">
        <v>1</v>
      </c>
      <c r="N399" s="12"/>
      <c r="O399" s="13"/>
      <c r="P399" s="14"/>
      <c r="Q399" s="21"/>
      <c r="R399" s="22"/>
      <c r="S399" s="23"/>
      <c r="T399" s="15"/>
      <c r="U399" s="16"/>
      <c r="W399" t="str">
        <f>IF(G399-J399-SUM(K399:U399),G399-J399-SUM(K399:U399),"")</f>
        <v/>
      </c>
    </row>
    <row r="400" spans="1:23" x14ac:dyDescent="0.2">
      <c r="A400" s="7" t="str">
        <f t="shared" si="6"/>
        <v>macromolecules/7b01475_s2</v>
      </c>
      <c r="B400" s="7" t="s">
        <v>286</v>
      </c>
      <c r="C400" s="17" t="s">
        <v>320</v>
      </c>
      <c r="D400" s="7" t="s">
        <v>22</v>
      </c>
      <c r="E400" s="7" t="s">
        <v>55</v>
      </c>
      <c r="F400" s="7" t="s">
        <v>26</v>
      </c>
      <c r="G400" s="7">
        <v>3</v>
      </c>
      <c r="H400" s="7" t="s">
        <v>288</v>
      </c>
      <c r="I400" s="7" t="str" cm="1">
        <f t="array" ref="I400">IF(E400="Abstract","a",LOWER(_xlfn.CONCAT(LEFT(INDEX(_xlfn.TEXTSPLIT(E400," "),1),1),INDEX(_xlfn.TEXTSPLIT(E400," "),2))))</f>
        <v>s2</v>
      </c>
      <c r="J400" s="7">
        <v>3</v>
      </c>
      <c r="K400" s="9"/>
      <c r="L400" s="10"/>
      <c r="M400" s="11"/>
      <c r="N400" s="12"/>
      <c r="O400" s="13"/>
      <c r="P400" s="14"/>
      <c r="Q400" s="21"/>
      <c r="R400" s="22"/>
      <c r="S400" s="23"/>
      <c r="T400" s="15"/>
      <c r="U400" s="16"/>
      <c r="W400" t="str">
        <f>IF(G400-J400-SUM(K400:U400),G400-J400-SUM(K400:U400),"")</f>
        <v/>
      </c>
    </row>
    <row r="401" spans="1:23" x14ac:dyDescent="0.2">
      <c r="A401" s="7" t="str">
        <f t="shared" si="6"/>
        <v>macromolecules/7b01769_s1</v>
      </c>
      <c r="B401" s="7" t="s">
        <v>286</v>
      </c>
      <c r="C401" s="17" t="s">
        <v>321</v>
      </c>
      <c r="D401" s="7" t="s">
        <v>22</v>
      </c>
      <c r="E401" s="7" t="s">
        <v>31</v>
      </c>
      <c r="F401" s="7" t="s">
        <v>26</v>
      </c>
      <c r="G401" s="7">
        <v>2</v>
      </c>
      <c r="H401" s="7" t="s">
        <v>288</v>
      </c>
      <c r="I401" s="7" t="str" cm="1">
        <f t="array" ref="I401">IF(E401="Abstract","a",LOWER(_xlfn.CONCAT(LEFT(INDEX(_xlfn.TEXTSPLIT(E401," "),1),1),INDEX(_xlfn.TEXTSPLIT(E401," "),2))))</f>
        <v>s1</v>
      </c>
      <c r="J401" s="7">
        <v>1</v>
      </c>
      <c r="K401" s="9"/>
      <c r="L401" s="10"/>
      <c r="M401" s="11"/>
      <c r="N401" s="12"/>
      <c r="O401" s="13">
        <v>1</v>
      </c>
      <c r="P401" s="14"/>
      <c r="Q401" s="21"/>
      <c r="R401" s="22"/>
      <c r="S401" s="23"/>
      <c r="T401" s="15"/>
      <c r="U401" s="16"/>
      <c r="W401" t="str">
        <f>IF(G401-J401-SUM(K401:U401),G401-J401-SUM(K401:U401),"")</f>
        <v/>
      </c>
    </row>
    <row r="402" spans="1:23" x14ac:dyDescent="0.2">
      <c r="A402" s="7" t="str">
        <f t="shared" si="6"/>
        <v>macromolecules/7b01832_s1</v>
      </c>
      <c r="B402" s="7" t="s">
        <v>286</v>
      </c>
      <c r="C402" s="17" t="s">
        <v>322</v>
      </c>
      <c r="D402" s="7" t="s">
        <v>22</v>
      </c>
      <c r="E402" s="7" t="s">
        <v>31</v>
      </c>
      <c r="F402" s="7" t="s">
        <v>26</v>
      </c>
      <c r="G402" s="7">
        <v>1</v>
      </c>
      <c r="H402" s="7" t="s">
        <v>288</v>
      </c>
      <c r="I402" s="7" t="str" cm="1">
        <f t="array" ref="I402">IF(E402="Abstract","a",LOWER(_xlfn.CONCAT(LEFT(INDEX(_xlfn.TEXTSPLIT(E402," "),1),1),INDEX(_xlfn.TEXTSPLIT(E402," "),2))))</f>
        <v>s1</v>
      </c>
      <c r="J402" s="7">
        <v>1</v>
      </c>
      <c r="K402" s="9"/>
      <c r="L402" s="10"/>
      <c r="M402" s="11"/>
      <c r="N402" s="12"/>
      <c r="O402" s="13"/>
      <c r="P402" s="14"/>
      <c r="Q402" s="21"/>
      <c r="R402" s="22"/>
      <c r="S402" s="23"/>
      <c r="T402" s="15"/>
      <c r="U402" s="16"/>
      <c r="W402" t="str">
        <f>IF(G402-J402-SUM(K402:U402),G402-J402-SUM(K402:U402),"")</f>
        <v/>
      </c>
    </row>
    <row r="403" spans="1:23" x14ac:dyDescent="0.2">
      <c r="A403" s="7" t="str">
        <f t="shared" si="6"/>
        <v>macromolecules/7b02030_f1</v>
      </c>
      <c r="B403" s="7" t="s">
        <v>286</v>
      </c>
      <c r="C403" s="17" t="s">
        <v>323</v>
      </c>
      <c r="D403" s="7" t="s">
        <v>22</v>
      </c>
      <c r="E403" s="7" t="s">
        <v>23</v>
      </c>
      <c r="F403" s="7" t="s">
        <v>24</v>
      </c>
      <c r="G403" s="7">
        <v>6</v>
      </c>
      <c r="H403" s="7" t="s">
        <v>288</v>
      </c>
      <c r="I403" s="7" t="str" cm="1">
        <f t="array" ref="I403">IF(E403="Abstract","a",LOWER(_xlfn.CONCAT(LEFT(INDEX(_xlfn.TEXTSPLIT(E403," "),1),1),INDEX(_xlfn.TEXTSPLIT(E403," "),2))))</f>
        <v>f1</v>
      </c>
      <c r="J403" s="7">
        <v>6</v>
      </c>
      <c r="K403" s="9"/>
      <c r="L403" s="10"/>
      <c r="M403" s="11"/>
      <c r="N403" s="12"/>
      <c r="O403" s="13"/>
      <c r="P403" s="14"/>
      <c r="Q403" s="21"/>
      <c r="R403" s="22"/>
      <c r="S403" s="23"/>
      <c r="T403" s="15"/>
      <c r="U403" s="16"/>
      <c r="W403" t="str">
        <f>IF(G403-J403-SUM(K403:U403),G403-J403-SUM(K403:U403),"")</f>
        <v/>
      </c>
    </row>
    <row r="404" spans="1:23" x14ac:dyDescent="0.2">
      <c r="A404" s="7" t="str">
        <f t="shared" si="6"/>
        <v>macromolecules/7b02136_f1</v>
      </c>
      <c r="B404" s="7" t="s">
        <v>286</v>
      </c>
      <c r="C404" s="17" t="s">
        <v>324</v>
      </c>
      <c r="D404" s="8" t="s">
        <v>22</v>
      </c>
      <c r="E404" s="8" t="s">
        <v>23</v>
      </c>
      <c r="F404" s="8" t="s">
        <v>24</v>
      </c>
      <c r="G404" s="8">
        <v>5</v>
      </c>
      <c r="H404" s="8" t="s">
        <v>288</v>
      </c>
      <c r="I404" s="8" t="str" cm="1">
        <f t="array" ref="I404">IF(E404="Abstract","a",LOWER(_xlfn.CONCAT(LEFT(INDEX(_xlfn.TEXTSPLIT(E404," "),1),1),INDEX(_xlfn.TEXTSPLIT(E404," "),2))))</f>
        <v>f1</v>
      </c>
      <c r="J404" s="7"/>
      <c r="K404" s="9"/>
      <c r="L404" s="10"/>
      <c r="M404" s="11"/>
      <c r="N404" s="12"/>
      <c r="O404" s="13"/>
      <c r="P404" s="14"/>
      <c r="Q404" s="21"/>
      <c r="R404" s="22"/>
      <c r="S404" s="23"/>
      <c r="T404" s="15">
        <v>5</v>
      </c>
      <c r="U404" s="16"/>
      <c r="W404" t="str">
        <f>IF(G404-J404-SUM(K404:U404),G404-J404-SUM(K404:U404),"")</f>
        <v/>
      </c>
    </row>
    <row r="405" spans="1:23" x14ac:dyDescent="0.2">
      <c r="A405" s="7" t="str">
        <f t="shared" si="6"/>
        <v>macromolecules/7b02136_s1</v>
      </c>
      <c r="B405" s="7" t="s">
        <v>286</v>
      </c>
      <c r="C405" s="17" t="s">
        <v>324</v>
      </c>
      <c r="D405" s="8" t="s">
        <v>22</v>
      </c>
      <c r="E405" s="8" t="s">
        <v>31</v>
      </c>
      <c r="F405" s="8" t="s">
        <v>24</v>
      </c>
      <c r="G405" s="8">
        <v>1</v>
      </c>
      <c r="H405" s="8" t="s">
        <v>288</v>
      </c>
      <c r="I405" s="8" t="str" cm="1">
        <f t="array" ref="I405">IF(E405="Abstract","a",LOWER(_xlfn.CONCAT(LEFT(INDEX(_xlfn.TEXTSPLIT(E405," "),1),1),INDEX(_xlfn.TEXTSPLIT(E405," "),2))))</f>
        <v>s1</v>
      </c>
      <c r="J405" s="7"/>
      <c r="K405" s="9"/>
      <c r="L405" s="10"/>
      <c r="M405" s="11"/>
      <c r="N405" s="12"/>
      <c r="O405" s="13"/>
      <c r="P405" s="14"/>
      <c r="Q405" s="21"/>
      <c r="R405" s="22"/>
      <c r="S405" s="23"/>
      <c r="T405" s="15">
        <v>1</v>
      </c>
      <c r="U405" s="16"/>
      <c r="W405" t="str">
        <f>IF(G405-J405-SUM(K405:U405),G405-J405-SUM(K405:U405),"")</f>
        <v/>
      </c>
    </row>
    <row r="406" spans="1:23" x14ac:dyDescent="0.2">
      <c r="A406" s="7" t="str">
        <f t="shared" si="6"/>
        <v>macromolecules/7b02288_f1</v>
      </c>
      <c r="B406" s="7" t="s">
        <v>286</v>
      </c>
      <c r="C406" s="17" t="s">
        <v>325</v>
      </c>
      <c r="D406" s="8" t="s">
        <v>22</v>
      </c>
      <c r="E406" s="8" t="s">
        <v>23</v>
      </c>
      <c r="F406" s="8" t="s">
        <v>24</v>
      </c>
      <c r="G406" s="8">
        <v>1</v>
      </c>
      <c r="H406" s="8" t="s">
        <v>288</v>
      </c>
      <c r="I406" s="8" t="str" cm="1">
        <f t="array" ref="I406">IF(E406="Abstract","a",LOWER(_xlfn.CONCAT(LEFT(INDEX(_xlfn.TEXTSPLIT(E406," "),1),1),INDEX(_xlfn.TEXTSPLIT(E406," "),2))))</f>
        <v>f1</v>
      </c>
      <c r="J406" s="7">
        <v>1</v>
      </c>
      <c r="K406" s="9"/>
      <c r="L406" s="10"/>
      <c r="M406" s="11"/>
      <c r="N406" s="12"/>
      <c r="O406" s="13"/>
      <c r="P406" s="14"/>
      <c r="Q406" s="21"/>
      <c r="R406" s="22"/>
      <c r="S406" s="23"/>
      <c r="T406" s="15"/>
      <c r="U406" s="16"/>
      <c r="W406" t="str">
        <f>IF(G406-J406-SUM(K406:U406),G406-J406-SUM(K406:U406),"")</f>
        <v/>
      </c>
    </row>
    <row r="407" spans="1:23" x14ac:dyDescent="0.2">
      <c r="A407" s="7" t="str">
        <f t="shared" si="6"/>
        <v>macromolecules/7b02457_s1</v>
      </c>
      <c r="B407" s="7" t="s">
        <v>286</v>
      </c>
      <c r="C407" s="17" t="s">
        <v>326</v>
      </c>
      <c r="D407" s="7" t="s">
        <v>22</v>
      </c>
      <c r="E407" s="7" t="s">
        <v>31</v>
      </c>
      <c r="F407" s="7" t="s">
        <v>24</v>
      </c>
      <c r="G407" s="7">
        <v>3</v>
      </c>
      <c r="H407" s="7" t="s">
        <v>288</v>
      </c>
      <c r="I407" s="7" t="str" cm="1">
        <f t="array" ref="I407">IF(E407="Abstract","a",LOWER(_xlfn.CONCAT(LEFT(INDEX(_xlfn.TEXTSPLIT(E407," "),1),1),INDEX(_xlfn.TEXTSPLIT(E407," "),2))))</f>
        <v>s1</v>
      </c>
      <c r="J407" s="7">
        <v>3</v>
      </c>
      <c r="K407" s="9"/>
      <c r="L407" s="10"/>
      <c r="M407" s="11"/>
      <c r="N407" s="12"/>
      <c r="O407" s="13"/>
      <c r="P407" s="14"/>
      <c r="Q407" s="21"/>
      <c r="R407" s="22"/>
      <c r="S407" s="23"/>
      <c r="T407" s="15"/>
      <c r="U407" s="16"/>
      <c r="W407" t="str">
        <f>IF(G407-J407-SUM(K407:U407),G407-J407-SUM(K407:U407),"")</f>
        <v/>
      </c>
    </row>
    <row r="408" spans="1:23" x14ac:dyDescent="0.2">
      <c r="A408" s="7" t="str">
        <f t="shared" si="6"/>
        <v>macromolecules/7b02457_s2</v>
      </c>
      <c r="B408" s="7" t="s">
        <v>286</v>
      </c>
      <c r="C408" s="17" t="s">
        <v>326</v>
      </c>
      <c r="D408" s="7" t="s">
        <v>22</v>
      </c>
      <c r="E408" s="7" t="s">
        <v>55</v>
      </c>
      <c r="F408" s="7" t="s">
        <v>24</v>
      </c>
      <c r="G408" s="7">
        <v>1</v>
      </c>
      <c r="H408" s="7" t="s">
        <v>288</v>
      </c>
      <c r="I408" s="7" t="str" cm="1">
        <f t="array" ref="I408">IF(E408="Abstract","a",LOWER(_xlfn.CONCAT(LEFT(INDEX(_xlfn.TEXTSPLIT(E408," "),1),1),INDEX(_xlfn.TEXTSPLIT(E408," "),2))))</f>
        <v>s2</v>
      </c>
      <c r="J408" s="7">
        <v>1</v>
      </c>
      <c r="K408" s="9"/>
      <c r="L408" s="10"/>
      <c r="M408" s="11"/>
      <c r="N408" s="12"/>
      <c r="O408" s="13"/>
      <c r="P408" s="14"/>
      <c r="Q408" s="21"/>
      <c r="R408" s="22"/>
      <c r="S408" s="23"/>
      <c r="T408" s="15"/>
      <c r="U408" s="16"/>
      <c r="W408" t="str">
        <f>IF(G408-J408-SUM(K408:U408),G408-J408-SUM(K408:U408),"")</f>
        <v/>
      </c>
    </row>
    <row r="409" spans="1:23" x14ac:dyDescent="0.2">
      <c r="A409" s="7" t="str">
        <f t="shared" si="6"/>
        <v>macromolecules/7b02610_s1</v>
      </c>
      <c r="B409" s="7" t="s">
        <v>286</v>
      </c>
      <c r="C409" s="17" t="s">
        <v>327</v>
      </c>
      <c r="D409" s="7" t="s">
        <v>22</v>
      </c>
      <c r="E409" s="7" t="s">
        <v>31</v>
      </c>
      <c r="F409" s="7" t="s">
        <v>26</v>
      </c>
      <c r="G409" s="7">
        <v>3</v>
      </c>
      <c r="H409" s="7" t="s">
        <v>288</v>
      </c>
      <c r="I409" s="7" t="str" cm="1">
        <f t="array" ref="I409">IF(E409="Abstract","a",LOWER(_xlfn.CONCAT(LEFT(INDEX(_xlfn.TEXTSPLIT(E409," "),1),1),INDEX(_xlfn.TEXTSPLIT(E409," "),2))))</f>
        <v>s1</v>
      </c>
      <c r="J409" s="7"/>
      <c r="K409" s="9"/>
      <c r="L409" s="10"/>
      <c r="M409" s="11"/>
      <c r="N409" s="12">
        <v>3</v>
      </c>
      <c r="O409" s="13"/>
      <c r="P409" s="14"/>
      <c r="Q409" s="21"/>
      <c r="R409" s="22"/>
      <c r="S409" s="23"/>
      <c r="T409" s="15"/>
      <c r="U409" s="16"/>
      <c r="W409" t="str">
        <f>IF(G409-J409-SUM(K409:U409),G409-J409-SUM(K409:U409),"")</f>
        <v/>
      </c>
    </row>
    <row r="410" spans="1:23" x14ac:dyDescent="0.2">
      <c r="A410" s="7" t="str">
        <f t="shared" si="6"/>
        <v>macromolecules/8b00178_s1</v>
      </c>
      <c r="B410" s="7" t="s">
        <v>286</v>
      </c>
      <c r="C410" s="17" t="s">
        <v>328</v>
      </c>
      <c r="D410" s="7" t="s">
        <v>22</v>
      </c>
      <c r="E410" s="7" t="s">
        <v>31</v>
      </c>
      <c r="F410" s="7" t="s">
        <v>24</v>
      </c>
      <c r="G410" s="7">
        <v>1</v>
      </c>
      <c r="H410" s="7" t="s">
        <v>288</v>
      </c>
      <c r="I410" s="7" t="str" cm="1">
        <f t="array" ref="I410">IF(E410="Abstract","a",LOWER(_xlfn.CONCAT(LEFT(INDEX(_xlfn.TEXTSPLIT(E410," "),1),1),INDEX(_xlfn.TEXTSPLIT(E410," "),2))))</f>
        <v>s1</v>
      </c>
      <c r="J410" s="7"/>
      <c r="K410" s="9"/>
      <c r="L410" s="10"/>
      <c r="M410" s="11"/>
      <c r="N410" s="12">
        <v>1</v>
      </c>
      <c r="O410" s="13"/>
      <c r="P410" s="14"/>
      <c r="Q410" s="21"/>
      <c r="R410" s="22"/>
      <c r="S410" s="23"/>
      <c r="T410" s="15"/>
      <c r="U410" s="16"/>
      <c r="W410" t="str">
        <f>IF(G410-J410-SUM(K410:U410),G410-J410-SUM(K410:U410),"")</f>
        <v/>
      </c>
    </row>
    <row r="411" spans="1:23" x14ac:dyDescent="0.2">
      <c r="A411" s="7" t="str">
        <f t="shared" si="6"/>
        <v>macromolecules/8b00294_f7</v>
      </c>
      <c r="B411" s="7" t="s">
        <v>286</v>
      </c>
      <c r="C411" s="17" t="s">
        <v>329</v>
      </c>
      <c r="D411" s="7" t="s">
        <v>22</v>
      </c>
      <c r="E411" s="7" t="s">
        <v>130</v>
      </c>
      <c r="F411" s="7" t="s">
        <v>24</v>
      </c>
      <c r="G411" s="7">
        <v>3</v>
      </c>
      <c r="H411" s="7" t="s">
        <v>288</v>
      </c>
      <c r="I411" s="7" t="str" cm="1">
        <f t="array" ref="I411">IF(E411="Abstract","a",LOWER(_xlfn.CONCAT(LEFT(INDEX(_xlfn.TEXTSPLIT(E411," "),1),1),INDEX(_xlfn.TEXTSPLIT(E411," "),2))))</f>
        <v>f7</v>
      </c>
      <c r="J411" s="7">
        <v>2</v>
      </c>
      <c r="K411" s="9">
        <v>1</v>
      </c>
      <c r="L411" s="10"/>
      <c r="M411" s="11"/>
      <c r="N411" s="12"/>
      <c r="O411" s="13"/>
      <c r="P411" s="14"/>
      <c r="Q411" s="21"/>
      <c r="R411" s="22"/>
      <c r="S411" s="23"/>
      <c r="T411" s="15"/>
      <c r="U411" s="16"/>
      <c r="W411" t="str">
        <f>IF(G411-J411-SUM(K411:U411),G411-J411-SUM(K411:U411),"")</f>
        <v/>
      </c>
    </row>
    <row r="412" spans="1:23" x14ac:dyDescent="0.2">
      <c r="A412" s="7" t="str">
        <f t="shared" si="6"/>
        <v>macromolecules/8b00294_s1</v>
      </c>
      <c r="B412" s="7" t="s">
        <v>286</v>
      </c>
      <c r="C412" s="17" t="s">
        <v>329</v>
      </c>
      <c r="D412" s="7" t="s">
        <v>22</v>
      </c>
      <c r="E412" s="7" t="s">
        <v>31</v>
      </c>
      <c r="F412" s="7" t="s">
        <v>24</v>
      </c>
      <c r="G412" s="7">
        <v>2</v>
      </c>
      <c r="H412" s="7" t="s">
        <v>288</v>
      </c>
      <c r="I412" s="7" t="str" cm="1">
        <f t="array" ref="I412">IF(E412="Abstract","a",LOWER(_xlfn.CONCAT(LEFT(INDEX(_xlfn.TEXTSPLIT(E412," "),1),1),INDEX(_xlfn.TEXTSPLIT(E412," "),2))))</f>
        <v>s1</v>
      </c>
      <c r="J412" s="7">
        <v>1</v>
      </c>
      <c r="K412" s="9">
        <v>1</v>
      </c>
      <c r="L412" s="10"/>
      <c r="M412" s="11"/>
      <c r="N412" s="12"/>
      <c r="O412" s="13"/>
      <c r="P412" s="14"/>
      <c r="Q412" s="21"/>
      <c r="R412" s="22"/>
      <c r="S412" s="23"/>
      <c r="T412" s="15"/>
      <c r="U412" s="16"/>
      <c r="W412" t="str">
        <f>IF(G412-J412-SUM(K412:U412),G412-J412-SUM(K412:U412),"")</f>
        <v/>
      </c>
    </row>
    <row r="413" spans="1:23" x14ac:dyDescent="0.2">
      <c r="A413" s="7" t="str">
        <f t="shared" si="6"/>
        <v>macromolecules/8b00715_s1</v>
      </c>
      <c r="B413" s="7" t="s">
        <v>286</v>
      </c>
      <c r="C413" s="17" t="s">
        <v>330</v>
      </c>
      <c r="D413" s="7" t="s">
        <v>22</v>
      </c>
      <c r="E413" s="7" t="s">
        <v>31</v>
      </c>
      <c r="F413" s="7" t="s">
        <v>24</v>
      </c>
      <c r="G413" s="7">
        <v>1</v>
      </c>
      <c r="H413" s="7" t="s">
        <v>288</v>
      </c>
      <c r="I413" s="7" t="str" cm="1">
        <f t="array" ref="I413">IF(E413="Abstract","a",LOWER(_xlfn.CONCAT(LEFT(INDEX(_xlfn.TEXTSPLIT(E413," "),1),1),INDEX(_xlfn.TEXTSPLIT(E413," "),2))))</f>
        <v>s1</v>
      </c>
      <c r="J413" s="7">
        <v>1</v>
      </c>
      <c r="K413" s="9"/>
      <c r="L413" s="10"/>
      <c r="M413" s="11"/>
      <c r="N413" s="12"/>
      <c r="O413" s="13"/>
      <c r="P413" s="14"/>
      <c r="Q413" s="21"/>
      <c r="R413" s="22"/>
      <c r="S413" s="23"/>
      <c r="T413" s="15"/>
      <c r="U413" s="16"/>
      <c r="W413" t="str">
        <f>IF(G413-J413-SUM(K413:U413),G413-J413-SUM(K413:U413),"")</f>
        <v/>
      </c>
    </row>
    <row r="414" spans="1:23" x14ac:dyDescent="0.2">
      <c r="A414" s="7" t="str">
        <f t="shared" si="6"/>
        <v>macromolecules/8b00772_s1</v>
      </c>
      <c r="B414" s="7" t="s">
        <v>286</v>
      </c>
      <c r="C414" s="17" t="s">
        <v>331</v>
      </c>
      <c r="D414" s="7" t="s">
        <v>22</v>
      </c>
      <c r="E414" s="7" t="s">
        <v>31</v>
      </c>
      <c r="F414" s="7" t="s">
        <v>26</v>
      </c>
      <c r="G414" s="7">
        <v>1</v>
      </c>
      <c r="H414" s="7" t="s">
        <v>288</v>
      </c>
      <c r="I414" s="7" t="str" cm="1">
        <f t="array" ref="I414">IF(E414="Abstract","a",LOWER(_xlfn.CONCAT(LEFT(INDEX(_xlfn.TEXTSPLIT(E414," "),1),1),INDEX(_xlfn.TEXTSPLIT(E414," "),2))))</f>
        <v>s1</v>
      </c>
      <c r="J414" s="7"/>
      <c r="K414" s="9"/>
      <c r="L414" s="10">
        <v>1</v>
      </c>
      <c r="M414" s="11"/>
      <c r="N414" s="12"/>
      <c r="O414" s="13"/>
      <c r="P414" s="14"/>
      <c r="Q414" s="21"/>
      <c r="R414" s="22"/>
      <c r="S414" s="23"/>
      <c r="T414" s="15"/>
      <c r="U414" s="16"/>
      <c r="W414" t="str">
        <f>IF(G414-J414-SUM(K414:U414),G414-J414-SUM(K414:U414),"")</f>
        <v/>
      </c>
    </row>
    <row r="415" spans="1:23" x14ac:dyDescent="0.2">
      <c r="A415" s="7" t="str">
        <f t="shared" si="6"/>
        <v>macromolecules/8b01077_f1</v>
      </c>
      <c r="B415" s="7" t="s">
        <v>286</v>
      </c>
      <c r="C415" s="17" t="s">
        <v>332</v>
      </c>
      <c r="D415" s="7" t="s">
        <v>22</v>
      </c>
      <c r="E415" s="7" t="s">
        <v>23</v>
      </c>
      <c r="F415" s="7" t="s">
        <v>26</v>
      </c>
      <c r="G415" s="7">
        <v>1</v>
      </c>
      <c r="H415" s="7" t="s">
        <v>288</v>
      </c>
      <c r="I415" s="7" t="str" cm="1">
        <f t="array" ref="I415">IF(E415="Abstract","a",LOWER(_xlfn.CONCAT(LEFT(INDEX(_xlfn.TEXTSPLIT(E415," "),1),1),INDEX(_xlfn.TEXTSPLIT(E415," "),2))))</f>
        <v>f1</v>
      </c>
      <c r="J415" s="7"/>
      <c r="K415" s="9"/>
      <c r="L415" s="10"/>
      <c r="M415" s="11"/>
      <c r="N415" s="12"/>
      <c r="O415" s="13"/>
      <c r="P415" s="14"/>
      <c r="Q415" s="21"/>
      <c r="R415" s="22"/>
      <c r="S415" s="23"/>
      <c r="T415" s="15">
        <v>1</v>
      </c>
      <c r="U415" s="16"/>
      <c r="W415" t="str">
        <f>IF(G415-J415-SUM(K415:U415),G415-J415-SUM(K415:U415),"")</f>
        <v/>
      </c>
    </row>
    <row r="416" spans="1:23" x14ac:dyDescent="0.2">
      <c r="A416" s="7" t="str">
        <f t="shared" si="6"/>
        <v>macromolecules/8b01077_f5</v>
      </c>
      <c r="B416" s="7" t="s">
        <v>286</v>
      </c>
      <c r="C416" s="17" t="s">
        <v>332</v>
      </c>
      <c r="D416" s="7" t="s">
        <v>22</v>
      </c>
      <c r="E416" s="7" t="s">
        <v>80</v>
      </c>
      <c r="F416" s="7" t="s">
        <v>26</v>
      </c>
      <c r="G416" s="7">
        <v>2</v>
      </c>
      <c r="H416" s="7" t="s">
        <v>288</v>
      </c>
      <c r="I416" s="7" t="str" cm="1">
        <f t="array" ref="I416">IF(E416="Abstract","a",LOWER(_xlfn.CONCAT(LEFT(INDEX(_xlfn.TEXTSPLIT(E416," "),1),1),INDEX(_xlfn.TEXTSPLIT(E416," "),2))))</f>
        <v>f5</v>
      </c>
      <c r="J416" s="7">
        <v>1</v>
      </c>
      <c r="K416" s="9"/>
      <c r="L416" s="10"/>
      <c r="M416" s="11"/>
      <c r="N416" s="12"/>
      <c r="O416" s="13"/>
      <c r="P416" s="14"/>
      <c r="Q416" s="21"/>
      <c r="R416" s="22"/>
      <c r="S416" s="23"/>
      <c r="T416" s="15">
        <v>1</v>
      </c>
      <c r="U416" s="16"/>
      <c r="W416" t="str">
        <f>IF(G416-J416-SUM(K416:U416),G416-J416-SUM(K416:U416),"")</f>
        <v/>
      </c>
    </row>
    <row r="417" spans="1:23" x14ac:dyDescent="0.2">
      <c r="A417" s="7" t="str">
        <f t="shared" si="6"/>
        <v>macromolecules/8b01150_s2</v>
      </c>
      <c r="B417" s="7" t="s">
        <v>286</v>
      </c>
      <c r="C417" s="17" t="s">
        <v>333</v>
      </c>
      <c r="D417" s="7" t="s">
        <v>22</v>
      </c>
      <c r="E417" s="7" t="s">
        <v>55</v>
      </c>
      <c r="F417" s="7" t="s">
        <v>26</v>
      </c>
      <c r="G417" s="7">
        <v>2</v>
      </c>
      <c r="H417" s="7" t="s">
        <v>288</v>
      </c>
      <c r="I417" s="7" t="str" cm="1">
        <f t="array" ref="I417">IF(E417="Abstract","a",LOWER(_xlfn.CONCAT(LEFT(INDEX(_xlfn.TEXTSPLIT(E417," "),1),1),INDEX(_xlfn.TEXTSPLIT(E417," "),2))))</f>
        <v>s2</v>
      </c>
      <c r="J417" s="7">
        <v>2</v>
      </c>
      <c r="K417" s="9"/>
      <c r="L417" s="10"/>
      <c r="M417" s="11"/>
      <c r="N417" s="12"/>
      <c r="O417" s="13"/>
      <c r="P417" s="14"/>
      <c r="Q417" s="21"/>
      <c r="R417" s="22"/>
      <c r="S417" s="23"/>
      <c r="T417" s="15"/>
      <c r="U417" s="16"/>
      <c r="W417" t="str">
        <f>IF(G417-J417-SUM(K417:U417),G417-J417-SUM(K417:U417),"")</f>
        <v/>
      </c>
    </row>
    <row r="418" spans="1:23" x14ac:dyDescent="0.2">
      <c r="A418" s="7" t="str">
        <f t="shared" si="6"/>
        <v>macromolecules/8b01224_f3</v>
      </c>
      <c r="B418" s="7" t="s">
        <v>286</v>
      </c>
      <c r="C418" s="17" t="s">
        <v>334</v>
      </c>
      <c r="D418" s="7" t="s">
        <v>22</v>
      </c>
      <c r="E418" s="7" t="s">
        <v>44</v>
      </c>
      <c r="F418" s="7" t="s">
        <v>24</v>
      </c>
      <c r="G418" s="7">
        <v>2</v>
      </c>
      <c r="H418" s="7" t="s">
        <v>288</v>
      </c>
      <c r="I418" s="7" t="str" cm="1">
        <f t="array" ref="I418">IF(E418="Abstract","a",LOWER(_xlfn.CONCAT(LEFT(INDEX(_xlfn.TEXTSPLIT(E418," "),1),1),INDEX(_xlfn.TEXTSPLIT(E418," "),2))))</f>
        <v>f3</v>
      </c>
      <c r="J418" s="7"/>
      <c r="K418" s="9">
        <v>2</v>
      </c>
      <c r="L418" s="10"/>
      <c r="M418" s="11"/>
      <c r="N418" s="12"/>
      <c r="O418" s="13"/>
      <c r="P418" s="14"/>
      <c r="Q418" s="21"/>
      <c r="R418" s="22"/>
      <c r="S418" s="23"/>
      <c r="T418" s="15"/>
      <c r="U418" s="16"/>
      <c r="W418" t="str">
        <f>IF(G418-J418-SUM(K418:U418),G418-J418-SUM(K418:U418),"")</f>
        <v/>
      </c>
    </row>
    <row r="419" spans="1:23" x14ac:dyDescent="0.2">
      <c r="A419" s="7" t="str">
        <f t="shared" si="6"/>
        <v>macromolecules/8b01224_s1</v>
      </c>
      <c r="B419" s="7" t="s">
        <v>286</v>
      </c>
      <c r="C419" s="17" t="s">
        <v>334</v>
      </c>
      <c r="D419" s="7" t="s">
        <v>22</v>
      </c>
      <c r="E419" s="7" t="s">
        <v>31</v>
      </c>
      <c r="F419" s="7" t="s">
        <v>24</v>
      </c>
      <c r="G419" s="7">
        <v>3</v>
      </c>
      <c r="H419" s="7" t="s">
        <v>288</v>
      </c>
      <c r="I419" s="7" t="str" cm="1">
        <f t="array" ref="I419">IF(E419="Abstract","a",LOWER(_xlfn.CONCAT(LEFT(INDEX(_xlfn.TEXTSPLIT(E419," "),1),1),INDEX(_xlfn.TEXTSPLIT(E419," "),2))))</f>
        <v>s1</v>
      </c>
      <c r="J419" s="7">
        <v>1</v>
      </c>
      <c r="K419" s="9">
        <v>2</v>
      </c>
      <c r="L419" s="10"/>
      <c r="M419" s="11"/>
      <c r="N419" s="12"/>
      <c r="O419" s="13"/>
      <c r="P419" s="14"/>
      <c r="Q419" s="21"/>
      <c r="R419" s="22"/>
      <c r="S419" s="23"/>
      <c r="T419" s="15"/>
      <c r="U419" s="16"/>
      <c r="W419" t="str">
        <f>IF(G419-J419-SUM(K419:U419),G419-J419-SUM(K419:U419),"")</f>
        <v/>
      </c>
    </row>
    <row r="420" spans="1:23" x14ac:dyDescent="0.2">
      <c r="A420" s="7" t="str">
        <f t="shared" si="6"/>
        <v>macromolecules/8b01251_f1</v>
      </c>
      <c r="B420" s="7" t="s">
        <v>286</v>
      </c>
      <c r="C420" s="17" t="s">
        <v>335</v>
      </c>
      <c r="D420" s="7" t="s">
        <v>22</v>
      </c>
      <c r="E420" s="7" t="s">
        <v>23</v>
      </c>
      <c r="F420" s="7" t="s">
        <v>24</v>
      </c>
      <c r="G420" s="7">
        <v>1</v>
      </c>
      <c r="H420" s="7" t="s">
        <v>288</v>
      </c>
      <c r="I420" s="7" t="str" cm="1">
        <f t="array" ref="I420">IF(E420="Abstract","a",LOWER(_xlfn.CONCAT(LEFT(INDEX(_xlfn.TEXTSPLIT(E420," "),1),1),INDEX(_xlfn.TEXTSPLIT(E420," "),2))))</f>
        <v>f1</v>
      </c>
      <c r="J420" s="7">
        <v>1</v>
      </c>
      <c r="K420" s="9"/>
      <c r="L420" s="10"/>
      <c r="M420" s="11"/>
      <c r="N420" s="12"/>
      <c r="O420" s="13"/>
      <c r="P420" s="14"/>
      <c r="Q420" s="21"/>
      <c r="R420" s="22"/>
      <c r="S420" s="23"/>
      <c r="T420" s="15"/>
      <c r="U420" s="16"/>
      <c r="W420" t="str">
        <f>IF(G420-J420-SUM(K420:U420),G420-J420-SUM(K420:U420),"")</f>
        <v/>
      </c>
    </row>
    <row r="421" spans="1:23" x14ac:dyDescent="0.2">
      <c r="A421" s="7" t="str">
        <f t="shared" si="6"/>
        <v>macromolecules/8b01251_f4</v>
      </c>
      <c r="B421" s="7" t="s">
        <v>286</v>
      </c>
      <c r="C421" s="17" t="s">
        <v>335</v>
      </c>
      <c r="D421" s="7" t="s">
        <v>22</v>
      </c>
      <c r="E421" s="7" t="s">
        <v>42</v>
      </c>
      <c r="F421" s="7" t="s">
        <v>24</v>
      </c>
      <c r="G421" s="7">
        <v>1</v>
      </c>
      <c r="H421" s="7" t="s">
        <v>288</v>
      </c>
      <c r="I421" s="7" t="str" cm="1">
        <f t="array" ref="I421">IF(E421="Abstract","a",LOWER(_xlfn.CONCAT(LEFT(INDEX(_xlfn.TEXTSPLIT(E421," "),1),1),INDEX(_xlfn.TEXTSPLIT(E421," "),2))))</f>
        <v>f4</v>
      </c>
      <c r="J421" s="7">
        <v>1</v>
      </c>
      <c r="K421" s="9"/>
      <c r="L421" s="10"/>
      <c r="M421" s="11"/>
      <c r="N421" s="12"/>
      <c r="O421" s="13"/>
      <c r="P421" s="14"/>
      <c r="Q421" s="21"/>
      <c r="R421" s="22"/>
      <c r="S421" s="23"/>
      <c r="T421" s="15"/>
      <c r="U421" s="16"/>
      <c r="W421" t="str">
        <f>IF(G421-J421-SUM(K421:U421),G421-J421-SUM(K421:U421),"")</f>
        <v/>
      </c>
    </row>
    <row r="422" spans="1:23" x14ac:dyDescent="0.2">
      <c r="A422" s="7"/>
      <c r="B422" s="7"/>
      <c r="C422" s="7"/>
      <c r="D422" s="7"/>
      <c r="E422" s="7"/>
      <c r="F422" s="7"/>
      <c r="G422" s="7">
        <f>SUM(G2:G421)</f>
        <v>950</v>
      </c>
      <c r="H422" s="7"/>
      <c r="I422" s="7"/>
      <c r="J422" s="7"/>
      <c r="K422" s="9"/>
      <c r="L422" s="10"/>
      <c r="M422" s="11"/>
      <c r="N422" s="12"/>
      <c r="O422" s="13"/>
      <c r="P422" s="14"/>
      <c r="Q422" s="21"/>
      <c r="R422" s="22"/>
      <c r="S422" s="23"/>
      <c r="T422" s="15"/>
      <c r="U422" s="16"/>
    </row>
    <row r="423" spans="1:23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18">
        <f>SUM(J2:J421)</f>
        <v>563</v>
      </c>
      <c r="K423" s="9">
        <f>SUM(K2:K421)</f>
        <v>102</v>
      </c>
      <c r="L423" s="10">
        <f>SUM(L2:L421)</f>
        <v>66</v>
      </c>
      <c r="M423" s="11">
        <f>SUM(M2:M421)</f>
        <v>61</v>
      </c>
      <c r="N423" s="12">
        <f>SUM(N2:N421)</f>
        <v>42</v>
      </c>
      <c r="O423" s="13">
        <f>SUM(O2:O421)</f>
        <v>23</v>
      </c>
      <c r="P423" s="14">
        <f>SUM(P2:P421)</f>
        <v>13</v>
      </c>
      <c r="Q423" s="21">
        <f>SUM(Q2:Q421)</f>
        <v>4</v>
      </c>
      <c r="R423" s="22">
        <f>SUM(R2:R421)</f>
        <v>19</v>
      </c>
      <c r="S423" s="23">
        <f>SUM(S2:S421)</f>
        <v>16</v>
      </c>
      <c r="T423" s="15">
        <f>SUM(T2:T421)</f>
        <v>31</v>
      </c>
      <c r="U423" s="16">
        <f>SUM(U2:U421)</f>
        <v>10</v>
      </c>
    </row>
    <row r="424" spans="1:23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9" t="s">
        <v>10</v>
      </c>
      <c r="L424" s="10" t="s">
        <v>11</v>
      </c>
      <c r="M424" s="11" t="s">
        <v>12</v>
      </c>
      <c r="N424" s="12" t="s">
        <v>13</v>
      </c>
      <c r="O424" s="13" t="s">
        <v>14</v>
      </c>
      <c r="P424" s="14" t="s">
        <v>15</v>
      </c>
      <c r="Q424" s="21" t="s">
        <v>16</v>
      </c>
      <c r="R424" s="22" t="s">
        <v>17</v>
      </c>
      <c r="S424" s="23" t="s">
        <v>18</v>
      </c>
      <c r="T424" s="15" t="s">
        <v>336</v>
      </c>
      <c r="U424" s="16" t="s">
        <v>19</v>
      </c>
    </row>
  </sheetData>
  <hyperlinks>
    <hyperlink ref="C145" r:id="rId1" tooltip="DOI URL" xr:uid="{5C9D3B94-D5AF-A042-B147-A8D61CE58236}"/>
    <hyperlink ref="C138" r:id="rId2" tooltip="DOI URL" xr:uid="{43C1865F-2CB8-764F-8DCE-BC48B5A2576E}"/>
    <hyperlink ref="C139" r:id="rId3" tooltip="DOI URL" xr:uid="{5CEC9549-D675-B148-889A-A96508C576C4}"/>
    <hyperlink ref="C140" r:id="rId4" tooltip="DOI URL" xr:uid="{B535DBAB-020C-A042-9F1B-BE68A96610B1}"/>
    <hyperlink ref="C141" r:id="rId5" tooltip="DOI URL" xr:uid="{5E8026BF-4EC8-4844-B395-2E2B5D8D0037}"/>
    <hyperlink ref="C142" r:id="rId6" tooltip="DOI URL" xr:uid="{45555E42-340B-344C-9225-5CA453C60612}"/>
    <hyperlink ref="C143" r:id="rId7" tooltip="DOI URL" xr:uid="{EA3428EB-CE76-6141-A29A-591D53646636}"/>
    <hyperlink ref="C144" r:id="rId8" tooltip="DOI URL" xr:uid="{C7A5BF43-1A9F-004D-9987-C1A616A466EB}"/>
    <hyperlink ref="C147" r:id="rId9" tooltip="DOI URL" xr:uid="{C78CEFE7-DD6F-F74E-B7B6-4687474C0B07}"/>
    <hyperlink ref="C148" r:id="rId10" tooltip="DOI URL" xr:uid="{E094FB73-4CCB-4B40-A5DD-FD04E98BF972}"/>
    <hyperlink ref="C149" r:id="rId11" tooltip="DOI URL" xr:uid="{25673E73-8879-5641-A107-2A6924A354C1}"/>
    <hyperlink ref="C150" r:id="rId12" tooltip="DOI URL" xr:uid="{D38F7F48-0BD3-B247-818F-8CC417ACB6C1}"/>
    <hyperlink ref="C152" r:id="rId13" tooltip="DOI URL" xr:uid="{B9CAB163-F966-AB45-BAFD-87C18E1FF1C8}"/>
    <hyperlink ref="C146" r:id="rId14" tooltip="DOI URL" xr:uid="{EDE62812-B123-F648-A4C5-E083332E21F3}"/>
    <hyperlink ref="C166" r:id="rId15" tooltip="DOI URL" xr:uid="{741217F7-3013-C842-BF80-4E0DF75D7831}"/>
    <hyperlink ref="C167" r:id="rId16" tooltip="DOI URL" xr:uid="{0C51C2AD-C07C-0241-8CFB-D9BF9E4074A0}"/>
    <hyperlink ref="C168" r:id="rId17" tooltip="DOI URL" xr:uid="{90B4CFEB-7F36-B343-AF03-9FEDC6B97E98}"/>
    <hyperlink ref="C169" r:id="rId18" tooltip="DOI URL" xr:uid="{2FF5BADC-81D0-AB48-B682-FED08B7C0614}"/>
    <hyperlink ref="C153" r:id="rId19" tooltip="DOI URL" xr:uid="{9F0E4150-990C-8D4C-A79F-F42F78AB2893}"/>
    <hyperlink ref="C154" r:id="rId20" tooltip="DOI URL" xr:uid="{B46532F1-F4EE-DE47-B197-E28D3832E65E}"/>
    <hyperlink ref="C155" r:id="rId21" tooltip="DOI URL" xr:uid="{D56E5708-1A5F-A544-9365-2DA6D8EF8429}"/>
    <hyperlink ref="C156" r:id="rId22" tooltip="DOI URL" xr:uid="{810B466F-B570-E34C-81AF-D0B55EB67345}"/>
    <hyperlink ref="C157" r:id="rId23" tooltip="DOI URL" xr:uid="{C762EA65-B485-BF4E-9E03-40ACAEEB259F}"/>
    <hyperlink ref="C158" r:id="rId24" tooltip="DOI URL" xr:uid="{C24B17DC-62B3-9647-91FD-28BF1E93A947}"/>
    <hyperlink ref="C159" r:id="rId25" tooltip="DOI URL" xr:uid="{6115DAC0-4292-8A41-8A03-8F693F1CDFBC}"/>
    <hyperlink ref="C160" r:id="rId26" tooltip="DOI URL" xr:uid="{527EC0DB-6F62-6C4C-9F61-5D901C80CD67}"/>
    <hyperlink ref="C161" r:id="rId27" tooltip="DOI URL" xr:uid="{CD7576E0-A93E-844F-B88E-AAE28C543F44}"/>
    <hyperlink ref="C162" r:id="rId28" tooltip="DOI URL" xr:uid="{8FD3E6A5-296C-8141-90E7-F132DDAEBB0B}"/>
    <hyperlink ref="C163" r:id="rId29" tooltip="DOI URL" xr:uid="{143A0452-7E6B-5C49-80DB-103FDDC2AEAD}"/>
    <hyperlink ref="C173" r:id="rId30" tooltip="DOI URL" xr:uid="{158BAA35-5000-0540-BB8D-DC4C39309324}"/>
    <hyperlink ref="C151" r:id="rId31" tooltip="DOI URL" xr:uid="{9E50DC8E-1608-E644-B830-11A1CEA8F21B}"/>
    <hyperlink ref="C177" r:id="rId32" tooltip="DOI URL" xr:uid="{EA088B55-8B92-D843-8A00-360730879A10}"/>
    <hyperlink ref="C170" r:id="rId33" tooltip="DOI URL" xr:uid="{734B592D-D86C-E74F-BA06-534A2E769663}"/>
    <hyperlink ref="C171" r:id="rId34" tooltip="DOI URL" xr:uid="{C1D43894-BE5C-024E-ADB7-79B2C0E3BA2C}"/>
    <hyperlink ref="C172" r:id="rId35" tooltip="DOI URL" xr:uid="{5FF2CB0A-E0BC-BB46-B908-ACD29B2551B4}"/>
    <hyperlink ref="C164" r:id="rId36" tooltip="DOI URL" xr:uid="{DF081DCF-DABB-7E45-B25A-F3C9F76EAFFF}"/>
    <hyperlink ref="C165" r:id="rId37" tooltip="DOI URL" xr:uid="{0A222836-56ED-044D-A31E-64EAC8A86CF0}"/>
    <hyperlink ref="C178" r:id="rId38" tooltip="DOI URL" xr:uid="{7CA6C6E2-0E7E-7E46-857F-EECFBE8FAB7F}"/>
    <hyperlink ref="C175" r:id="rId39" tooltip="DOI URL" xr:uid="{C542576F-8AE9-E74F-A9EC-D9E217B2B7B8}"/>
    <hyperlink ref="C176" r:id="rId40" tooltip="DOI URL" xr:uid="{B7619480-D0E0-6F44-9162-7316C8E2437F}"/>
    <hyperlink ref="C174" r:id="rId41" tooltip="DOI URL" xr:uid="{7AF33BC9-86FB-8749-9A46-ABFB6692F94D}"/>
    <hyperlink ref="C185" r:id="rId42" tooltip="DOI URL" xr:uid="{3F2A6CB8-FCF8-F24C-B318-00BD63F06B5F}"/>
    <hyperlink ref="C180" r:id="rId43" tooltip="DOI URL" xr:uid="{BD0464FB-3C0C-224E-B16F-997DACCB0C26}"/>
    <hyperlink ref="C182" r:id="rId44" tooltip="DOI URL" xr:uid="{8ECF986B-A836-5A46-81A3-706FB569F092}"/>
    <hyperlink ref="C181" r:id="rId45" tooltip="DOI URL" xr:uid="{3F97DB8C-CB9D-254B-A2B2-F70BFD69DF13}"/>
    <hyperlink ref="C183" r:id="rId46" tooltip="DOI URL" xr:uid="{21A6675F-5184-834C-B947-1AABDEEEB219}"/>
    <hyperlink ref="C179" r:id="rId47" tooltip="DOI URL" xr:uid="{95364B55-15BE-9747-96A0-43CB5C8BBCA0}"/>
    <hyperlink ref="C186" r:id="rId48" tooltip="DOI URL" xr:uid="{A3315221-55EB-4D41-917E-55829A7768A1}"/>
    <hyperlink ref="C187" r:id="rId49" tooltip="DOI URL" xr:uid="{D0F82E15-50BF-284D-A485-5250F2AF9B57}"/>
    <hyperlink ref="C189" r:id="rId50" tooltip="DOI URL" xr:uid="{48ADA2F1-EC64-234C-B87B-50BED2811D26}"/>
    <hyperlink ref="C188" r:id="rId51" tooltip="DOI URL" xr:uid="{DAC168D8-DA55-B449-9E59-40B1402BCFAC}"/>
    <hyperlink ref="C190" r:id="rId52" tooltip="DOI URL" xr:uid="{ACEF1531-4669-D148-8621-BDA6F1EF204C}"/>
    <hyperlink ref="C191" r:id="rId53" tooltip="DOI URL" xr:uid="{C2F7F0DC-63B4-2849-8714-785CE463913D}"/>
    <hyperlink ref="C192" r:id="rId54" tooltip="DOI URL" xr:uid="{58E52655-91DA-C940-909F-B06457976605}"/>
    <hyperlink ref="C193" r:id="rId55" tooltip="DOI URL" xr:uid="{1498E254-6E5B-6D45-90C3-39AA003C20F8}"/>
    <hyperlink ref="C198" r:id="rId56" tooltip="DOI URL" xr:uid="{080F1438-DA0E-F145-B883-C727CA0B2733}"/>
    <hyperlink ref="C196" r:id="rId57" tooltip="DOI URL" xr:uid="{D9221B14-4160-7B40-807C-B4097BA7C33E}"/>
    <hyperlink ref="C194" r:id="rId58" tooltip="DOI URL" xr:uid="{2C149A3C-B5E4-6C45-8C99-980619EE9969}"/>
    <hyperlink ref="C195" r:id="rId59" tooltip="DOI URL" xr:uid="{8081C3BB-2804-BB4B-84E5-FF54D39A536C}"/>
    <hyperlink ref="C197" r:id="rId60" tooltip="DOI URL" xr:uid="{F2F7DB17-EC88-CF47-B644-9D76D2484C28}"/>
    <hyperlink ref="C199" r:id="rId61" tooltip="DOI URL" xr:uid="{CB375B60-1114-334D-AB2F-0C3CA4801551}"/>
    <hyperlink ref="C200" r:id="rId62" tooltip="DOI URL" xr:uid="{955A51A8-A574-D545-9A05-0D121C928515}"/>
    <hyperlink ref="C201" r:id="rId63" tooltip="DOI URL" xr:uid="{A6556EB9-A948-CB46-9356-CFB3BCBCC0BB}"/>
    <hyperlink ref="C202" r:id="rId64" tooltip="DOI URL" xr:uid="{1FEDD9F8-9763-DF43-B704-8F1F6EDC69D4}"/>
    <hyperlink ref="C203" r:id="rId65" tooltip="DOI URL" xr:uid="{B7284104-F879-BA4C-AD83-A0C4B7E136CD}"/>
    <hyperlink ref="C228" r:id="rId66" tooltip="DOI URL" xr:uid="{4C45272D-989D-834E-BE82-B87703FB1C35}"/>
    <hyperlink ref="C229" r:id="rId67" tooltip="DOI URL" xr:uid="{15753AD9-86F4-9540-B8F1-F7B7BA231C55}"/>
    <hyperlink ref="C204" r:id="rId68" tooltip="DOI URL" xr:uid="{5B89D744-252E-8A42-B661-296A6D754853}"/>
    <hyperlink ref="C205" r:id="rId69" tooltip="DOI URL" xr:uid="{B40E461A-6B23-7C42-B57C-E2C299494327}"/>
    <hyperlink ref="C206" r:id="rId70" tooltip="DOI URL" xr:uid="{135120F8-59BD-A140-8978-10F393CA9BBD}"/>
    <hyperlink ref="C207" r:id="rId71" tooltip="DOI URL" xr:uid="{075E3D69-055A-1242-B950-F72EDE2225C6}"/>
    <hyperlink ref="C209" r:id="rId72" tooltip="DOI URL" xr:uid="{546E4EDF-D49A-E446-9A07-6099EC1173E9}"/>
    <hyperlink ref="C211" r:id="rId73" tooltip="DOI URL" xr:uid="{7A639215-F398-444B-A35C-ED87A2475F97}"/>
    <hyperlink ref="C213" r:id="rId74" tooltip="DOI URL" xr:uid="{BFA7AE14-63D0-2F48-81FC-BB16239A5A0D}"/>
    <hyperlink ref="C215" r:id="rId75" tooltip="DOI URL" xr:uid="{DBA048D3-8C89-6043-9187-F3DBB5F60B02}"/>
    <hyperlink ref="C208" r:id="rId76" tooltip="DOI URL" xr:uid="{69888CE3-EA91-C945-8CBB-26C7C3F76E03}"/>
    <hyperlink ref="C210" r:id="rId77" tooltip="DOI URL" xr:uid="{02935E2C-9DA4-CD4A-BB83-FD5ACC76A556}"/>
    <hyperlink ref="C212" r:id="rId78" tooltip="DOI URL" xr:uid="{3367FF21-7A08-544B-9F04-F189BBFF92F6}"/>
    <hyperlink ref="C214" r:id="rId79" tooltip="DOI URL" xr:uid="{0E8B53FD-CA15-5642-8D04-D435B4D33ECC}"/>
    <hyperlink ref="C216" r:id="rId80" tooltip="DOI URL" xr:uid="{0E0764CE-F59B-D54A-995E-DA1F528A891D}"/>
    <hyperlink ref="C217" r:id="rId81" tooltip="DOI URL" xr:uid="{88DBDD45-E021-B846-8FA4-B93908D6202B}"/>
    <hyperlink ref="C226" r:id="rId82" tooltip="DOI URL" xr:uid="{5AFC98DD-0552-CD45-80B4-38AFE7DE4929}"/>
    <hyperlink ref="C225" r:id="rId83" tooltip="DOI URL" xr:uid="{6DB2CCE9-8040-D145-AD4F-11E70C08CB04}"/>
    <hyperlink ref="C218" r:id="rId84" tooltip="DOI URL" xr:uid="{A3BD05F5-4BE0-0543-A801-67FCFE0AF4B7}"/>
    <hyperlink ref="C219" r:id="rId85" tooltip="DOI URL" xr:uid="{FB76416A-F133-A742-A8C8-D3C47C9E7D5A}"/>
    <hyperlink ref="C220" r:id="rId86" tooltip="DOI URL" xr:uid="{F010010F-E42D-874E-A338-F9E5636DFBB7}"/>
    <hyperlink ref="C223" r:id="rId87" tooltip="DOI URL" xr:uid="{CF5AC454-3BEB-8941-8F3D-FF29D7DF5AE2}"/>
    <hyperlink ref="C224" r:id="rId88" tooltip="DOI URL" xr:uid="{B24C73A5-1875-4346-9E6E-107B7B72D828}"/>
    <hyperlink ref="C222" r:id="rId89" tooltip="DOI URL" xr:uid="{95EE7577-57C7-7D48-815F-230A11DBB0F7}"/>
    <hyperlink ref="C221" r:id="rId90" tooltip="DOI URL" xr:uid="{3C04E4CF-9AB0-854F-ADC8-75F04E701EC2}"/>
    <hyperlink ref="C227" r:id="rId91" tooltip="DOI URL" xr:uid="{35172CFB-2FE0-7447-AB43-43E6504A5737}"/>
    <hyperlink ref="C247" r:id="rId92" tooltip="DOI URL" xr:uid="{A647E542-1FBE-6E4F-8325-CFDE26F7FA78}"/>
    <hyperlink ref="C248" r:id="rId93" tooltip="DOI URL" xr:uid="{67D26C6A-F19E-9647-9860-7CD3AF88907D}"/>
    <hyperlink ref="C249" r:id="rId94" tooltip="DOI URL" xr:uid="{7954DE6C-94A2-734E-9532-903B31BCDB01}"/>
    <hyperlink ref="C231" r:id="rId95" tooltip="DOI URL" xr:uid="{74EA21F9-AE3B-9042-BE01-3434B324A2A0}"/>
    <hyperlink ref="C232" r:id="rId96" tooltip="DOI URL" xr:uid="{2F1D9D93-38FA-3B4B-8F8B-D0BACD3C501F}"/>
    <hyperlink ref="C233" r:id="rId97" tooltip="DOI URL" xr:uid="{5214D84B-56A6-3441-9967-CB82FA45056A}"/>
    <hyperlink ref="C234" r:id="rId98" tooltip="DOI URL" xr:uid="{C5D5D1D2-A7E8-D148-9D86-19064D66D78B}"/>
    <hyperlink ref="C235" r:id="rId99" tooltip="DOI URL" xr:uid="{513353E8-23F2-A246-BF7A-45D2756C8092}"/>
    <hyperlink ref="C236" r:id="rId100" tooltip="DOI URL" xr:uid="{C1FF975B-D7E0-714F-9F1E-F32E669A92C1}"/>
    <hyperlink ref="C238" r:id="rId101" tooltip="DOI URL" xr:uid="{A52BEA0A-5540-B546-8587-CB30019B0D0B}"/>
    <hyperlink ref="C237" r:id="rId102" tooltip="DOI URL" xr:uid="{49C9723C-B40B-2D42-A46D-3783B3AC279D}"/>
    <hyperlink ref="C239" r:id="rId103" tooltip="DOI URL" xr:uid="{57328EDD-DF1D-1346-A703-F6ECA7756286}"/>
    <hyperlink ref="C230" r:id="rId104" tooltip="DOI URL" xr:uid="{F53B5DC2-C678-D843-87FC-6778080BE104}"/>
    <hyperlink ref="C245" r:id="rId105" tooltip="DOI URL" xr:uid="{FA46E061-384F-4E4E-8D05-88AF1E95DD34}"/>
    <hyperlink ref="C253" r:id="rId106" tooltip="DOI URL" xr:uid="{12570DCD-CC07-314B-A407-A6D4E39182FD}"/>
    <hyperlink ref="C255" r:id="rId107" tooltip="DOI URL" xr:uid="{7F61FE5C-8683-C84F-A219-865655533944}"/>
    <hyperlink ref="C254" r:id="rId108" tooltip="DOI URL" xr:uid="{72420C35-10CD-3646-BFF7-8652D5100193}"/>
    <hyperlink ref="C256" r:id="rId109" tooltip="DOI URL" xr:uid="{78F7D2E3-7177-F84D-B418-8279FD10BC2D}"/>
    <hyperlink ref="C257" r:id="rId110" tooltip="DOI URL" xr:uid="{CC04282A-7F46-5C4C-9E8E-4E5BFC9623DF}"/>
    <hyperlink ref="C246" r:id="rId111" tooltip="DOI URL" xr:uid="{9CAEF74B-804E-E744-8E06-2DAE4446EA6D}"/>
    <hyperlink ref="C250" r:id="rId112" tooltip="DOI URL" xr:uid="{CAF160C1-4116-7F40-A3E9-0F2CD4B7B611}"/>
    <hyperlink ref="C251" r:id="rId113" tooltip="DOI URL" xr:uid="{B930D177-34EE-1F4C-B857-3AD6496E6F73}"/>
    <hyperlink ref="C252" r:id="rId114" tooltip="DOI URL" xr:uid="{E4E980EF-318F-3943-97EF-9C8AF911C893}"/>
    <hyperlink ref="C259" r:id="rId115" tooltip="DOI URL" xr:uid="{BB62BD25-53AB-CE42-A2CE-1214CC082F2B}"/>
    <hyperlink ref="C258" r:id="rId116" tooltip="DOI URL" xr:uid="{0D1C962C-A940-3345-BC76-8012D05824C9}"/>
    <hyperlink ref="C260" r:id="rId117" tooltip="DOI URL" xr:uid="{B13BDE9B-192A-F542-A290-95270A76A96D}"/>
    <hyperlink ref="C261" r:id="rId118" tooltip="DOI URL" xr:uid="{746F08A6-D939-6B40-B405-30902B21EB72}"/>
    <hyperlink ref="C262" r:id="rId119" tooltip="DOI URL" xr:uid="{563B48F6-27B0-F545-94DF-D808818B89E9}"/>
    <hyperlink ref="C263" r:id="rId120" tooltip="DOI URL" xr:uid="{7891A162-8053-9948-86EC-87687E54957D}"/>
    <hyperlink ref="C264" r:id="rId121" tooltip="DOI URL" xr:uid="{47887F77-FD0F-694E-B049-00E074F2E4DB}"/>
    <hyperlink ref="C265" r:id="rId122" tooltip="DOI URL" xr:uid="{FE4AE581-BC42-574C-B7CC-DC98DEF94356}"/>
    <hyperlink ref="C266" r:id="rId123" tooltip="DOI URL" xr:uid="{D5883467-EBEC-4B4D-9584-7A630FCDCAF2}"/>
    <hyperlink ref="C270" r:id="rId124" tooltip="DOI URL" xr:uid="{7FB5C226-D72A-8645-AC84-F7020F5AEE03}"/>
    <hyperlink ref="C271" r:id="rId125" tooltip="DOI URL" xr:uid="{23CBEE72-4936-4F48-9F72-DDF57168D764}"/>
    <hyperlink ref="C272" r:id="rId126" tooltip="DOI URL" xr:uid="{AF0A1C60-5D00-6941-969C-ED3FBE1FA4C6}"/>
    <hyperlink ref="C273" r:id="rId127" tooltip="DOI URL" xr:uid="{D95B3B57-688B-804B-90BF-EC8769755FD9}"/>
    <hyperlink ref="C274" r:id="rId128" tooltip="DOI URL" xr:uid="{56F9143E-63F7-F140-ACF5-B03B90B6EB89}"/>
    <hyperlink ref="C267" r:id="rId129" tooltip="DOI URL" xr:uid="{F33D4C57-0CA9-0D4E-8746-D31BCF049403}"/>
    <hyperlink ref="C268" r:id="rId130" tooltip="DOI URL" xr:uid="{6EFBA1D2-07F0-E144-B94D-5A639927A445}"/>
    <hyperlink ref="C269" r:id="rId131" tooltip="DOI URL" xr:uid="{40B7B170-6689-064C-BF0E-FCB22BC0A81A}"/>
    <hyperlink ref="C278" r:id="rId132" tooltip="DOI URL" xr:uid="{5F1A60B3-C7AE-1447-9D76-C12A27CFC06E}"/>
    <hyperlink ref="C275" r:id="rId133" tooltip="DOI URL" xr:uid="{57A890FD-7F2A-0240-875D-3869F7A9E4DD}"/>
    <hyperlink ref="C277" r:id="rId134" tooltip="DOI URL" xr:uid="{880F36B9-4C05-8B42-89A3-02A24BE13306}"/>
    <hyperlink ref="C276" r:id="rId135" tooltip="DOI URL" xr:uid="{FCC430E7-A2F4-9E43-83B9-656FED97A4E3}"/>
    <hyperlink ref="C286" r:id="rId136" tooltip="DOI URL" xr:uid="{AF6FDF04-55E4-854A-B853-1DFE4EE42E83}"/>
    <hyperlink ref="C287" r:id="rId137" tooltip="DOI URL" xr:uid="{8BE6501F-BAA9-1341-84D1-3C8C038D4C00}"/>
    <hyperlink ref="C290" r:id="rId138" tooltip="DOI URL" xr:uid="{893774F1-3E89-5D4B-B789-504CC2F088AE}"/>
    <hyperlink ref="C288" r:id="rId139" tooltip="DOI URL" xr:uid="{927E0F59-75A0-F146-ABD5-AFCFDFE45FFB}"/>
    <hyperlink ref="C289" r:id="rId140" tooltip="DOI URL" xr:uid="{80A96E30-575A-C74A-97D2-6B4648F9E173}"/>
    <hyperlink ref="C282" r:id="rId141" tooltip="DOI URL" xr:uid="{5A5CBE8D-381A-B445-A790-DA87199960A8}"/>
    <hyperlink ref="C281" r:id="rId142" tooltip="DOI URL" xr:uid="{5B92A2C7-51E8-4548-B605-9AC9024F88FB}"/>
    <hyperlink ref="C283" r:id="rId143" tooltip="DOI URL" xr:uid="{11CDC29B-BE5D-694F-AD36-8E8F5468586B}"/>
    <hyperlink ref="C284" r:id="rId144" tooltip="DOI URL" xr:uid="{7C5758D9-8834-4744-9DC7-FC8AF696E1DA}"/>
    <hyperlink ref="C285" r:id="rId145" tooltip="DOI URL" xr:uid="{CD7547ED-090B-BC48-9C62-DF14FDFF2374}"/>
    <hyperlink ref="C279" r:id="rId146" tooltip="DOI URL" xr:uid="{31F70CBF-0A22-5D4C-9149-D1521912F8C4}"/>
    <hyperlink ref="C280" r:id="rId147" tooltip="DOI URL" xr:uid="{EB9B8AE2-A738-E042-864A-26A0EFC513F3}"/>
    <hyperlink ref="C304" r:id="rId148" tooltip="DOI URL" xr:uid="{E9D5E638-04BF-0E4E-A5AC-5A7A7D40857E}"/>
    <hyperlink ref="C305" r:id="rId149" tooltip="DOI URL" xr:uid="{4ECC6B14-EA22-274D-B60D-72059E6305B4}"/>
    <hyperlink ref="C291" r:id="rId150" tooltip="DOI URL" xr:uid="{85E57475-3AF6-2C4D-BBE8-99D37F0A2844}"/>
    <hyperlink ref="C292" r:id="rId151" tooltip="DOI URL" xr:uid="{9262CDE7-878A-9645-86DB-BF5A44234D67}"/>
    <hyperlink ref="C293" r:id="rId152" tooltip="DOI URL" xr:uid="{50BDF206-ACA5-B847-B02B-4B73C79FC40E}"/>
    <hyperlink ref="C294" r:id="rId153" tooltip="DOI URL" xr:uid="{CFA9D798-46C0-3A4F-994E-B72C2872822D}"/>
    <hyperlink ref="C296" r:id="rId154" tooltip="DOI URL" xr:uid="{3D5F0ADE-98B8-BB40-9B2D-C24EE64D9D0B}"/>
    <hyperlink ref="C298" r:id="rId155" tooltip="DOI URL" xr:uid="{C182CC21-D6B9-024D-ADBD-BC73BEB728A4}"/>
    <hyperlink ref="C295" r:id="rId156" tooltip="DOI URL" xr:uid="{9A188ACC-2CC7-8E42-A6C5-783FE630A56B}"/>
    <hyperlink ref="C297" r:id="rId157" tooltip="DOI URL" xr:uid="{509389D0-2E9B-E549-9B7A-BEA451D64FB1}"/>
    <hyperlink ref="C299" r:id="rId158" tooltip="DOI URL" xr:uid="{44676DE2-0EC9-9E44-9D67-63FB47BCD613}"/>
    <hyperlink ref="C302" r:id="rId159" tooltip="DOI URL" xr:uid="{8A36688E-F47C-0A43-9316-0A0C154506CE}"/>
    <hyperlink ref="C307" r:id="rId160" tooltip="DOI URL" xr:uid="{132D59E2-9491-2A46-8190-C1525F9CA056}"/>
    <hyperlink ref="C308" r:id="rId161" tooltip="DOI URL" xr:uid="{CB8B836D-9B3A-C34F-B8AA-F6A2501C33AA}"/>
    <hyperlink ref="C303" r:id="rId162" tooltip="DOI URL" xr:uid="{33818D05-B3DA-7A4F-85D4-5A06C1D9E37A}"/>
    <hyperlink ref="C314" r:id="rId163" tooltip="DOI URL" xr:uid="{92759FB3-B410-2B46-997D-38842EAAA9D3}"/>
    <hyperlink ref="C312" r:id="rId164" tooltip="DOI URL" xr:uid="{7E0C8440-2B35-9B40-96A2-4940389CD092}"/>
    <hyperlink ref="C313" r:id="rId165" tooltip="DOI URL" xr:uid="{A8F5AF76-74E7-4245-B3A2-7670D6FB486B}"/>
    <hyperlink ref="C315" r:id="rId166" tooltip="DOI URL" xr:uid="{E3664781-1CFB-2142-9D27-5D68461C6095}"/>
    <hyperlink ref="C306" r:id="rId167" tooltip="DOI URL" xr:uid="{69CABBE1-C352-7241-8D0D-E81AD517905A}"/>
    <hyperlink ref="C310" r:id="rId168" tooltip="DOI URL" xr:uid="{CCD2A199-D659-CE4F-872F-18F2B657AE3A}"/>
    <hyperlink ref="C311" r:id="rId169" tooltip="DOI URL" xr:uid="{1727EC1B-3C48-DD44-83E3-54E1188C574E}"/>
    <hyperlink ref="C300" r:id="rId170" tooltip="DOI URL" xr:uid="{CD75CF83-5CF2-C043-847D-783F46BC86F3}"/>
    <hyperlink ref="C301" r:id="rId171" tooltip="DOI URL" xr:uid="{6F520653-A41F-834B-A2AD-0F0FB36A6F02}"/>
    <hyperlink ref="C309" r:id="rId172" tooltip="DOI URL" xr:uid="{3523C3A6-153C-8D46-8D2F-E0B20D66506C}"/>
    <hyperlink ref="C316" r:id="rId173" tooltip="DOI URL" xr:uid="{0F78E987-4F41-0F4C-9BFA-00D3270DC77D}"/>
    <hyperlink ref="C323" r:id="rId174" tooltip="DOI URL" xr:uid="{BCCCC940-BC2D-384D-BF84-1717E0F5B57C}"/>
    <hyperlink ref="C317" r:id="rId175" tooltip="DOI URL" xr:uid="{6E5FB1B7-9BCB-9141-B705-57E0A1486E38}"/>
    <hyperlink ref="C318" r:id="rId176" tooltip="DOI URL" xr:uid="{58136F4A-2674-174D-BF76-6E26C613289E}"/>
    <hyperlink ref="C319" r:id="rId177" tooltip="DOI URL" xr:uid="{0570A15A-8693-2E48-B067-D12083E0C973}"/>
    <hyperlink ref="C320" r:id="rId178" tooltip="DOI URL" xr:uid="{C90D7139-5312-0646-AC3C-2439FDB33426}"/>
    <hyperlink ref="C321" r:id="rId179" tooltip="DOI URL" xr:uid="{6BB0D04B-19AC-0D4C-A1B6-9BA993CC773A}"/>
    <hyperlink ref="C322" r:id="rId180" tooltip="DOI URL" xr:uid="{BF5596D4-7426-EF40-A3CA-76BDB1EC1D4B}"/>
    <hyperlink ref="C324" r:id="rId181" tooltip="DOI URL" xr:uid="{0C0D10C6-4F14-D542-AD0E-A76E35901E36}"/>
    <hyperlink ref="C327" r:id="rId182" tooltip="DOI URL" xr:uid="{01FB4591-EE41-704E-9C12-C965E8BA1F56}"/>
    <hyperlink ref="C328" r:id="rId183" tooltip="DOI URL" xr:uid="{7D062A2F-FB03-CF41-B899-F30A59CEB73F}"/>
    <hyperlink ref="C329" r:id="rId184" tooltip="DOI URL" xr:uid="{A541C1E4-3F32-AA45-9103-70E4AA1A9588}"/>
    <hyperlink ref="C330" r:id="rId185" tooltip="DOI URL" xr:uid="{818DEBBB-EC28-9940-B71F-73354E6267FA}"/>
    <hyperlink ref="C325" r:id="rId186" tooltip="DOI URL" xr:uid="{F53E7A9F-5AF7-554E-9F9A-7AC2FBB7B850}"/>
    <hyperlink ref="C326" r:id="rId187" tooltip="DOI URL" xr:uid="{664278F6-B9BE-C145-A4EC-144C89EBFD15}"/>
    <hyperlink ref="C331" r:id="rId188" tooltip="DOI URL" xr:uid="{2904F50A-C03B-3542-BE2C-B262E6147BEA}"/>
    <hyperlink ref="C332" r:id="rId189" tooltip="DOI URL" xr:uid="{AF4028AC-0F9E-3340-891E-6F5DFCD12066}"/>
    <hyperlink ref="C333" r:id="rId190" tooltip="DOI URL" xr:uid="{8C9C5A69-6E39-A047-87BB-88F3CED02B2A}"/>
    <hyperlink ref="C335" r:id="rId191" tooltip="DOI URL" xr:uid="{CDE79F2C-9EB9-A84F-B814-81312080A096}"/>
    <hyperlink ref="C334" r:id="rId192" tooltip="DOI URL" xr:uid="{2F7F0F05-C69C-B740-861E-47CD4629E1E0}"/>
    <hyperlink ref="C338" r:id="rId193" tooltip="DOI URL" xr:uid="{819A3F9B-1672-9046-836B-04EF46F37711}"/>
    <hyperlink ref="C337" r:id="rId194" tooltip="DOI URL" xr:uid="{EA756980-97C2-BD40-A0C2-D0959E02466B}"/>
    <hyperlink ref="C340" r:id="rId195" tooltip="DOI URL" xr:uid="{BE8F69D4-2C9C-D74D-B129-31F166904BB7}"/>
    <hyperlink ref="C336" r:id="rId196" tooltip="DOI URL" xr:uid="{93E52021-3480-9A45-8769-988B69C2AA0C}"/>
    <hyperlink ref="C339" r:id="rId197" tooltip="DOI URL" xr:uid="{E49EFE0D-7229-CC4B-A52A-20D65D4D75CD}"/>
    <hyperlink ref="C341" r:id="rId198" tooltip="DOI URL" xr:uid="{355BAF6B-DD04-004B-AB19-BEB8710B9AF2}"/>
    <hyperlink ref="C344" r:id="rId199" tooltip="DOI URL" xr:uid="{23EC0912-1125-D046-8104-16A63E5846AB}"/>
    <hyperlink ref="C343" r:id="rId200" tooltip="DOI URL" xr:uid="{B332AB5F-0082-7447-8CB1-CE5F581F3FC0}"/>
    <hyperlink ref="C347" r:id="rId201" tooltip="DOI URL" xr:uid="{6464BA9F-0F68-614E-8107-4FC11CC2D4B5}"/>
    <hyperlink ref="C348" r:id="rId202" tooltip="DOI URL" xr:uid="{301E6794-6F39-F84B-92BD-6B20BCD6A90E}"/>
    <hyperlink ref="C342" r:id="rId203" tooltip="DOI URL" xr:uid="{9BDAAC7F-E0E8-F94B-ADC6-FDB6C6E3C19C}"/>
    <hyperlink ref="C345" r:id="rId204" tooltip="DOI URL" xr:uid="{A38803D4-D9D1-7B44-A3FA-2144B914AF6B}"/>
    <hyperlink ref="C349" r:id="rId205" tooltip="DOI URL" xr:uid="{97A353A7-14EE-4E44-B625-7F0E8A4F81BF}"/>
    <hyperlink ref="C346" r:id="rId206" tooltip="DOI URL" xr:uid="{7DE93492-FFD3-7247-9ACD-D3789D1066A5}"/>
    <hyperlink ref="C184" r:id="rId207" tooltip="DOI URL" xr:uid="{F8B62FBB-C8EF-1342-A252-A49CD3A892A3}"/>
    <hyperlink ref="C122" r:id="rId208" tooltip="DOI URL" xr:uid="{C3E2FF85-1EFD-3C4D-A2DD-57FC0475740D}"/>
    <hyperlink ref="C130" r:id="rId209" tooltip="DOI URL" xr:uid="{3039D3C6-4447-1E4A-87BD-3A957C39D786}"/>
    <hyperlink ref="C129" r:id="rId210" tooltip="DOI URL" xr:uid="{F02CEEE6-565A-D942-BB5D-128D9ABA66D6}"/>
    <hyperlink ref="C128" r:id="rId211" tooltip="DOI URL" xr:uid="{3C00FAF6-5DC5-E249-9297-D12AC3D394A5}"/>
    <hyperlink ref="C126" r:id="rId212" tooltip="DOI URL" xr:uid="{C693A513-6704-4B42-8B8D-E25416744389}"/>
    <hyperlink ref="C123" r:id="rId213" tooltip="DOI URL" xr:uid="{8216A064-9C5F-0344-AD9E-5918CD782B20}"/>
    <hyperlink ref="C127" r:id="rId214" tooltip="DOI URL" xr:uid="{B6DA4A55-C9DB-AD4D-96EC-EDF3EA03A4EA}"/>
    <hyperlink ref="C125" r:id="rId215" tooltip="DOI URL" xr:uid="{96DFCCF0-6E41-0949-9B4E-D3E7B27E0CC0}"/>
    <hyperlink ref="C124" r:id="rId216" tooltip="DOI URL" xr:uid="{3086F734-6D99-254B-8F95-3754FA26BB98}"/>
    <hyperlink ref="C3" r:id="rId217" tooltip="DOI URL" xr:uid="{F8161EB2-7131-B549-8BE3-925829E9105A}"/>
    <hyperlink ref="C4" r:id="rId218" tooltip="DOI URL" xr:uid="{161E4CBC-040C-F547-BB3C-C58C2CB08928}"/>
    <hyperlink ref="C2" r:id="rId219" tooltip="DOI URL" xr:uid="{4F81BAEF-CA9D-9F4F-83A3-6FFCBD923343}"/>
    <hyperlink ref="C137" r:id="rId220" tooltip="DOI URL" xr:uid="{92DEDA73-E77E-2144-979C-3EA802C59654}"/>
    <hyperlink ref="C136" r:id="rId221" tooltip="DOI URL" xr:uid="{2F13626B-B423-AF4F-872B-E1B005566E48}"/>
    <hyperlink ref="C134" r:id="rId222" tooltip="DOI URL" xr:uid="{73B3324A-AB80-F44A-AE2A-814A3AEA665B}"/>
    <hyperlink ref="C135" r:id="rId223" tooltip="DOI URL" xr:uid="{ADFA14D8-ADA6-3344-8FDD-7B8725703050}"/>
    <hyperlink ref="C132" r:id="rId224" tooltip="DOI URL" xr:uid="{52762C41-1D57-3641-BF4E-8454367A7E4F}"/>
    <hyperlink ref="C133" r:id="rId225" tooltip="DOI URL" xr:uid="{B1EC3F00-0DEA-574B-92F7-BCDBF20087F6}"/>
    <hyperlink ref="C131" r:id="rId226" tooltip="DOI URL" xr:uid="{93B49E2C-4474-E84D-A30C-230B1FCA0A71}"/>
    <hyperlink ref="C18" r:id="rId227" tooltip="DOI URL" xr:uid="{247D483F-0DB9-804B-A473-20C243304F2E}"/>
    <hyperlink ref="C15" r:id="rId228" tooltip="DOI URL" xr:uid="{A61FB48A-5DD3-CC49-A5B2-807E573E2FA6}"/>
    <hyperlink ref="C16" r:id="rId229" tooltip="DOI URL" xr:uid="{A789E7C2-6755-6340-BD81-16A024F9FE91}"/>
    <hyperlink ref="C17" r:id="rId230" tooltip="DOI URL" xr:uid="{2BF50D2A-A0B4-104B-8704-70242D20DAAF}"/>
    <hyperlink ref="C13" r:id="rId231" tooltip="DOI URL" xr:uid="{C2C6FB4D-A53A-A84A-9912-C5B4B0B6476B}"/>
    <hyperlink ref="C12" r:id="rId232" tooltip="DOI URL" xr:uid="{AE9193AB-FA77-5F4C-9A2B-231D931DE7F2}"/>
    <hyperlink ref="C11" r:id="rId233" tooltip="DOI URL" xr:uid="{F50D4545-3592-F543-A549-89130686AAA2}"/>
    <hyperlink ref="C10" r:id="rId234" tooltip="DOI URL" xr:uid="{109E361E-D4E9-0E43-86D5-19EE65FA3D6E}"/>
    <hyperlink ref="C9" r:id="rId235" tooltip="DOI URL" xr:uid="{DC2B0BCF-A5E3-B748-B0E8-DEAEACF1A2F3}"/>
    <hyperlink ref="C7" r:id="rId236" tooltip="DOI URL" xr:uid="{DD6AD471-9753-A345-8DEF-893A1B5ECAF1}"/>
    <hyperlink ref="C8" r:id="rId237" tooltip="DOI URL" xr:uid="{25146676-B966-7F47-B8FE-3B3DF5F8BA6E}"/>
    <hyperlink ref="C5" r:id="rId238" tooltip="DOI URL" xr:uid="{B4918702-A1F5-884B-A582-BFB326D9C4DC}"/>
    <hyperlink ref="C6" r:id="rId239" tooltip="DOI URL" xr:uid="{21C9497E-7DB4-4540-9A5A-BF1775FEA6E1}"/>
    <hyperlink ref="C38" r:id="rId240" tooltip="DOI URL" xr:uid="{2A08DF49-2277-F24C-B25F-BA97B22CB498}"/>
    <hyperlink ref="C31" r:id="rId241" tooltip="DOI URL" xr:uid="{89D54352-AFCE-A24A-A5AC-91F71EFAB4B9}"/>
    <hyperlink ref="C32" r:id="rId242" tooltip="DOI URL" xr:uid="{266756BE-506F-ED47-9992-74923E3559F8}"/>
    <hyperlink ref="C33" r:id="rId243" tooltip="DOI URL" xr:uid="{211A60E1-89CC-824B-AA58-C1162DB321FD}"/>
    <hyperlink ref="C34" r:id="rId244" tooltip="DOI URL" xr:uid="{84054A9C-6455-2B4F-95DD-DCD61F067D47}"/>
    <hyperlink ref="C36" r:id="rId245" tooltip="DOI URL" xr:uid="{CA2ACE4F-29D4-2E4C-948A-89AB8EF837F3}"/>
    <hyperlink ref="C29" r:id="rId246" tooltip="DOI URL" xr:uid="{725F7E84-77A0-7C45-9C53-086B84414A89}"/>
    <hyperlink ref="C37" r:id="rId247" tooltip="DOI URL" xr:uid="{B4AD9F13-1F14-A745-9903-A64BCE06971C}"/>
    <hyperlink ref="C35" r:id="rId248" tooltip="DOI URL" xr:uid="{A4976F3D-5A09-1B4F-9F48-67B3500BD9B2}"/>
    <hyperlink ref="C30" r:id="rId249" tooltip="DOI URL" xr:uid="{B2F5D24C-E1AF-0243-AC0A-FB86E17E99CD}"/>
    <hyperlink ref="C28" r:id="rId250" tooltip="DOI URL" xr:uid="{A55D80EB-2A38-AE49-870D-EC863B5F3E18}"/>
    <hyperlink ref="C22" r:id="rId251" tooltip="DOI URL" xr:uid="{265DFBBA-E29E-214B-8245-46FD45BB0649}"/>
    <hyperlink ref="C21" r:id="rId252" tooltip="DOI URL" xr:uid="{23E7E161-9BC9-1949-8EFA-82D0663A98B1}"/>
    <hyperlink ref="C27" r:id="rId253" tooltip="DOI URL" xr:uid="{4389ABDF-131F-D24E-A6CF-80B4D6F63FB4}"/>
    <hyperlink ref="C26" r:id="rId254" tooltip="DOI URL" xr:uid="{C53D8361-5D26-6D49-A283-E310270205F2}"/>
    <hyperlink ref="C23" r:id="rId255" tooltip="DOI URL" xr:uid="{A522E683-B78E-A34B-AC62-DA1D5A71510B}"/>
    <hyperlink ref="C24" r:id="rId256" tooltip="DOI URL" xr:uid="{E715B03C-2BE9-F346-ABCD-7F42A28F299D}"/>
    <hyperlink ref="C25" r:id="rId257" tooltip="DOI URL" xr:uid="{422BD687-8499-9046-9877-D24A963A77F4}"/>
    <hyperlink ref="C19" r:id="rId258" tooltip="DOI URL" xr:uid="{10D2BD18-0D99-9A4A-A445-7C558B38D7FD}"/>
    <hyperlink ref="C20" r:id="rId259" tooltip="DOI URL" xr:uid="{530E1B06-D8D9-0243-AB37-94E5F3699097}"/>
    <hyperlink ref="C14" r:id="rId260" tooltip="DOI URL" xr:uid="{AAB5A03C-3B0C-4E4A-B464-725EB2D23EAD}"/>
    <hyperlink ref="C55" r:id="rId261" tooltip="DOI URL" xr:uid="{739B219C-254A-2B45-AA12-B9D200829F98}"/>
    <hyperlink ref="C56" r:id="rId262" tooltip="DOI URL" xr:uid="{C6E5E438-F96E-104F-98DF-BDDC6E004CBF}"/>
    <hyperlink ref="C52" r:id="rId263" tooltip="DOI URL" xr:uid="{A023BD8F-9F3F-FF4E-954A-E3F1EDF32EAF}"/>
    <hyperlink ref="C51" r:id="rId264" tooltip="DOI URL" xr:uid="{6FBC2484-C37B-A448-9E0C-BED980B9DD60}"/>
    <hyperlink ref="C54" r:id="rId265" tooltip="DOI URL" xr:uid="{7EF54B51-27A8-614F-A2CC-5891B84451FA}"/>
    <hyperlink ref="C48" r:id="rId266" tooltip="DOI URL" xr:uid="{53357F6C-1981-F340-9354-77CDE03C4437}"/>
    <hyperlink ref="C49" r:id="rId267" tooltip="DOI URL" xr:uid="{3FB1A65D-08D3-B54D-82A1-F655FB497E72}"/>
    <hyperlink ref="C50" r:id="rId268" tooltip="DOI URL" xr:uid="{AFC3D32C-1881-1A48-945B-94F64A566B50}"/>
    <hyperlink ref="C53" r:id="rId269" tooltip="DOI URL" xr:uid="{B4288F98-03B4-EE42-9B4A-CE63353855A3}"/>
    <hyperlink ref="C47" r:id="rId270" tooltip="DOI URL" xr:uid="{4F1AB861-696A-534D-94BC-92E9FD4988C5}"/>
    <hyperlink ref="C46" r:id="rId271" tooltip="DOI URL" xr:uid="{5155EEFD-FF2D-964F-AFE3-BB0ABBFB61C3}"/>
    <hyperlink ref="C44" r:id="rId272" tooltip="DOI URL" xr:uid="{DF3C664E-7F24-9745-B906-BDE14C629CC4}"/>
    <hyperlink ref="C45" r:id="rId273" tooltip="DOI URL" xr:uid="{BB891C09-7875-8F47-919F-2C69DABCA9A8}"/>
    <hyperlink ref="C43" r:id="rId274" tooltip="DOI URL" xr:uid="{8EF67A4B-9BB4-A449-921B-2B150105165E}"/>
    <hyperlink ref="C42" r:id="rId275" tooltip="DOI URL" xr:uid="{CEC0C34B-8C49-854E-AB4A-17E06C1EC445}"/>
    <hyperlink ref="C41" r:id="rId276" tooltip="DOI URL" xr:uid="{A2D1999C-B9E4-6D4E-9085-FDA1E7B047AF}"/>
    <hyperlink ref="C39" r:id="rId277" tooltip="DOI URL" xr:uid="{E6096713-6A65-B540-854C-EA9043937A9F}"/>
    <hyperlink ref="C40" r:id="rId278" tooltip="DOI URL" xr:uid="{5B79B651-7DF8-B544-9AC0-89136AD04609}"/>
    <hyperlink ref="C72" r:id="rId279" tooltip="DOI URL" xr:uid="{0609F8B8-DD17-0648-BB37-D0591E8A4A48}"/>
    <hyperlink ref="C62" r:id="rId280" tooltip="DOI URL" xr:uid="{585EC16D-B5D6-6849-B2C3-C2D8AA32B8DA}"/>
    <hyperlink ref="C69" r:id="rId281" tooltip="DOI URL" xr:uid="{C602E868-1E3C-4544-9E27-9C620B0CF830}"/>
    <hyperlink ref="C70" r:id="rId282" tooltip="DOI URL" xr:uid="{3ED58E29-D80D-9C4F-ACAB-57F46045DCC3}"/>
    <hyperlink ref="C71" r:id="rId283" tooltip="DOI URL" xr:uid="{10043A40-EC62-E244-93C6-DF73DA528D43}"/>
    <hyperlink ref="C67" r:id="rId284" tooltip="DOI URL" xr:uid="{AE493B2C-22DF-C84A-B3CA-F75132D46CC7}"/>
    <hyperlink ref="C59" r:id="rId285" tooltip="DOI URL" xr:uid="{C74DB130-8D1C-D943-A07A-E259F2F037AC}"/>
    <hyperlink ref="C60" r:id="rId286" tooltip="DOI URL" xr:uid="{90EB5991-E7E5-354A-A175-90AF55504B82}"/>
    <hyperlink ref="C66" r:id="rId287" tooltip="DOI URL" xr:uid="{DA9CB5D8-3A99-A74B-B848-E38C439DC1DC}"/>
    <hyperlink ref="C63" r:id="rId288" tooltip="DOI URL" xr:uid="{36C02FCD-B009-B547-A9F3-83EEFF6C8445}"/>
    <hyperlink ref="C64" r:id="rId289" tooltip="DOI URL" xr:uid="{AD0B03AC-5930-834E-B104-3EFC8545313C}"/>
    <hyperlink ref="C65" r:id="rId290" tooltip="DOI URL" xr:uid="{4379DEA1-DBBF-7D49-A129-9F2AF16B680C}"/>
    <hyperlink ref="C57" r:id="rId291" tooltip="DOI URL" xr:uid="{5D95206D-D996-B548-A587-25F840DD13B0}"/>
    <hyperlink ref="C61" r:id="rId292" tooltip="DOI URL" xr:uid="{8FB4B608-0EAB-AA48-8F9B-C359C397F720}"/>
    <hyperlink ref="C58" r:id="rId293" tooltip="DOI URL" xr:uid="{8AA293D8-2F74-BA4F-8D27-03A0B179F813}"/>
    <hyperlink ref="C79" r:id="rId294" tooltip="DOI URL" xr:uid="{1F521BD9-FE03-3949-8683-C71C75B48363}"/>
    <hyperlink ref="C76" r:id="rId295" tooltip="DOI URL" xr:uid="{A06ED705-7E1E-2748-BF93-0752AE6E7BF3}"/>
    <hyperlink ref="C77" r:id="rId296" tooltip="DOI URL" xr:uid="{19663F34-9E12-3243-A27C-EF0511ECA25F}"/>
    <hyperlink ref="C78" r:id="rId297" tooltip="DOI URL" xr:uid="{11DB6200-5C96-5542-938E-4773D80A6C9C}"/>
    <hyperlink ref="C75" r:id="rId298" tooltip="DOI URL" xr:uid="{01DD708C-0F3A-3E4D-8497-D940AC0491E2}"/>
    <hyperlink ref="C68" r:id="rId299" tooltip="DOI URL" xr:uid="{FA2AA717-0E93-9845-9025-25462E21AC31}"/>
    <hyperlink ref="C73" r:id="rId300" tooltip="DOI URL" xr:uid="{EFEA75D7-ADA9-C44D-937A-1332AD8A21ED}"/>
    <hyperlink ref="C74" r:id="rId301" tooltip="DOI URL" xr:uid="{2C409642-955F-3A44-A6C1-30E2AF0255E7}"/>
    <hyperlink ref="C90" r:id="rId302" tooltip="DOI URL" xr:uid="{46CC5282-4D4E-7842-987D-F6C84F472B80}"/>
    <hyperlink ref="C88" r:id="rId303" tooltip="DOI URL" xr:uid="{C9D75FCF-9384-584F-ABC0-B8DA0B8E11E1}"/>
    <hyperlink ref="C85" r:id="rId304" tooltip="DOI URL" xr:uid="{0C9FA548-5D8D-3843-9A3F-9599B9F9B673}"/>
    <hyperlink ref="C86" r:id="rId305" tooltip="DOI URL" xr:uid="{0BF219FB-48C4-B448-ABA2-018B7E70EEBE}"/>
    <hyperlink ref="C87" r:id="rId306" tooltip="DOI URL" xr:uid="{085CB6B7-D725-1F4A-A847-89823BF0DBBC}"/>
    <hyperlink ref="C84" r:id="rId307" tooltip="DOI URL" xr:uid="{4F65EA5D-1A1A-D548-8890-CAABF562F287}"/>
    <hyperlink ref="C80" r:id="rId308" xr:uid="{277BD0ED-0585-E444-B430-6711E756392F}"/>
    <hyperlink ref="C81" r:id="rId309" tooltip="DOI URL" xr:uid="{963D64F1-EA30-DA41-A6D1-11E75CE5C3A3}"/>
    <hyperlink ref="C82" r:id="rId310" tooltip="DOI URL" xr:uid="{CEDD18C2-FFC3-F54E-B3C6-AC8447012891}"/>
    <hyperlink ref="C83" r:id="rId311" tooltip="DOI URL" xr:uid="{F5B5AAAD-A963-E044-8466-6D83268CE51A}"/>
    <hyperlink ref="C107" r:id="rId312" tooltip="DOI URL" xr:uid="{A8E90215-5F20-284C-8C2C-075446798715}"/>
    <hyperlink ref="C103" r:id="rId313" tooltip="DOI URL" xr:uid="{7A6EB893-0DFD-8640-9ABF-1989FF469346}"/>
    <hyperlink ref="C102" r:id="rId314" tooltip="DOI URL" xr:uid="{F6AFE201-5943-4A44-AF6F-E367E7F30A49}"/>
    <hyperlink ref="C101" r:id="rId315" tooltip="DOI URL" xr:uid="{077C3FD1-25E7-8B42-AD29-A9D274345D67}"/>
    <hyperlink ref="C104" r:id="rId316" tooltip="DOI URL" xr:uid="{DDAC50D1-3AE5-C14F-98BB-DE35B097CBDE}"/>
    <hyperlink ref="C105" r:id="rId317" tooltip="DOI URL" xr:uid="{FE2DFB84-7F68-4744-B835-6C477789E598}"/>
    <hyperlink ref="C106" r:id="rId318" tooltip="DOI URL" xr:uid="{8CB11D35-B40F-C346-9920-D5180F162DBA}"/>
    <hyperlink ref="C98" r:id="rId319" tooltip="DOI URL" xr:uid="{681CDB6B-2B4F-0648-ABAA-5E7AEF4EAD68}"/>
    <hyperlink ref="C99" r:id="rId320" tooltip="DOI URL" xr:uid="{D4C2EBF6-1A8C-894F-B6E3-311B793E0C8B}"/>
    <hyperlink ref="C100" r:id="rId321" tooltip="DOI URL" xr:uid="{6656E657-92B4-424D-9281-BCD9DF81DA5D}"/>
    <hyperlink ref="C96" r:id="rId322" tooltip="DOI URL" xr:uid="{47CF1E6F-0FAA-7642-9554-C9793EE08B53}"/>
    <hyperlink ref="C97" r:id="rId323" tooltip="DOI URL" xr:uid="{53BE843E-B171-7740-A99C-4621A33B3D24}"/>
    <hyperlink ref="C92" r:id="rId324" tooltip="DOI URL" xr:uid="{DC793696-A8C1-374F-AE8E-E19B616CF1DC}"/>
    <hyperlink ref="C89" r:id="rId325" tooltip="DOI URL" xr:uid="{06AD2DA3-CA6D-1540-B119-BF886D932B8A}"/>
    <hyperlink ref="C93" r:id="rId326" tooltip="DOI URL" xr:uid="{B3BF724B-041A-8249-8269-CECC2D41DD99}"/>
    <hyperlink ref="C94" r:id="rId327" tooltip="DOI URL" xr:uid="{F77CD7C5-EE11-DB45-A6E8-4800218500AB}"/>
    <hyperlink ref="C95" r:id="rId328" tooltip="DOI URL" xr:uid="{A5C16C9E-A8E0-A540-B5A2-AC1EF32DBA73}"/>
    <hyperlink ref="C91" r:id="rId329" tooltip="DOI URL" xr:uid="{6DE848A4-E089-9E40-8628-9F3E4DE43179}"/>
    <hyperlink ref="C119" r:id="rId330" tooltip="DOI URL" xr:uid="{3E0D9EAB-A67B-8C48-8B11-E8E3E275639C}"/>
    <hyperlink ref="C120" r:id="rId331" tooltip="DOI URL" xr:uid="{140346A7-B184-B14D-B3FC-97EC92460276}"/>
    <hyperlink ref="C117" r:id="rId332" tooltip="DOI URL" xr:uid="{BF25AE66-2748-F448-B5BF-93A7A4419EF7}"/>
    <hyperlink ref="C113" r:id="rId333" tooltip="DOI URL" xr:uid="{347DFC5D-FCB5-1A4E-AC54-BBC36E9120A0}"/>
    <hyperlink ref="C118" r:id="rId334" tooltip="DOI URL" xr:uid="{D43020AA-1CDD-BE44-AD87-ECA4C3DCD742}"/>
    <hyperlink ref="C115" r:id="rId335" tooltip="DOI URL" xr:uid="{AABACFED-D8D1-FB4F-A518-F1B928519C16}"/>
    <hyperlink ref="C116" r:id="rId336" tooltip="DOI URL" xr:uid="{1915B7B3-0F2E-3444-83FF-9C678FC3290C}"/>
    <hyperlink ref="C114" r:id="rId337" tooltip="DOI URL" xr:uid="{B967F720-18B1-B643-92C5-B2AB6D96239F}"/>
    <hyperlink ref="C108" r:id="rId338" tooltip="DOI URL" xr:uid="{FAD399EA-6BB0-194F-BD28-CEA112E54F0E}"/>
    <hyperlink ref="C112" r:id="rId339" tooltip="DOI URL" xr:uid="{4CC5199C-8A8A-2E47-9997-99C7F72BC724}"/>
    <hyperlink ref="C109" r:id="rId340" xr:uid="{7CC5CCDE-F95A-954A-A938-30642291E065}"/>
    <hyperlink ref="C110" r:id="rId341" tooltip="DOI URL" xr:uid="{FB2B2B61-9C69-7E4D-B839-9A83D1DCCC25}"/>
    <hyperlink ref="C111" r:id="rId342" tooltip="DOI URL" xr:uid="{DB78FF9D-E972-4746-86A2-EEA1824382CF}"/>
    <hyperlink ref="C350" r:id="rId343" tooltip="DOI URL" xr:uid="{E9CB441A-4F05-5A4B-B4E4-5B6FEB93677A}"/>
    <hyperlink ref="C351" r:id="rId344" tooltip="DOI URL" xr:uid="{2BD3F1C7-209F-3A40-8A06-60C45FE4DC1E}"/>
    <hyperlink ref="C352" r:id="rId345" tooltip="DOI URL" xr:uid="{FE8D92B3-720A-A044-B40F-EE6C66049E36}"/>
    <hyperlink ref="C353" r:id="rId346" tooltip="DOI URL" xr:uid="{76BAC066-8814-804A-AC8E-4A0250C8933D}"/>
    <hyperlink ref="C354" r:id="rId347" tooltip="DOI URL" xr:uid="{DCCF6DD6-0860-DD45-BE55-0DD590D35438}"/>
    <hyperlink ref="C355" r:id="rId348" tooltip="DOI URL" xr:uid="{424B98D7-F7D9-0A4C-936E-6C43EF95A728}"/>
    <hyperlink ref="C356" r:id="rId349" tooltip="DOI URL" xr:uid="{18E1DB2E-2C10-6147-89DB-2FF6B6E1A36B}"/>
    <hyperlink ref="C357" r:id="rId350" tooltip="DOI URL" xr:uid="{2F917634-6CDF-B94A-B9EE-71F7F21A3337}"/>
    <hyperlink ref="C358" r:id="rId351" tooltip="DOI URL" xr:uid="{C3426CFC-3A2A-4B40-B33D-110F882BED7D}"/>
    <hyperlink ref="C359" r:id="rId352" tooltip="DOI URL" xr:uid="{24F9075D-0601-6542-93C4-828D2D352EA6}"/>
    <hyperlink ref="C360" r:id="rId353" tooltip="DOI URL" xr:uid="{0B2B5EFA-C7CD-B949-8C52-BC6B9EFC85A5}"/>
    <hyperlink ref="C361" r:id="rId354" tooltip="DOI URL" xr:uid="{5FF4D06F-61CF-8748-A645-2F96B0084735}"/>
    <hyperlink ref="C362" r:id="rId355" tooltip="DOI URL" xr:uid="{92AE4857-55AC-274A-A76A-863CB5F5F558}"/>
    <hyperlink ref="C363" r:id="rId356" tooltip="DOI URL" xr:uid="{104C6BBA-F42B-3745-9882-D410398D71E3}"/>
    <hyperlink ref="C364" r:id="rId357" tooltip="DOI URL" xr:uid="{8874A3FB-CDCC-8C4E-B52F-EACD2D2CB698}"/>
    <hyperlink ref="C365" r:id="rId358" tooltip="DOI URL" xr:uid="{04BC85D2-3268-8B4B-911D-683416BA2C19}"/>
    <hyperlink ref="C367" r:id="rId359" tooltip="DOI URL" xr:uid="{56C3E12B-A31B-764A-8A91-7F23614F9E0F}"/>
    <hyperlink ref="C370" r:id="rId360" tooltip="DOI URL" xr:uid="{75BB522F-60D3-354E-8A47-54897C4FD50A}"/>
    <hyperlink ref="C368" r:id="rId361" tooltip="DOI URL" xr:uid="{AC5039F8-AD29-F44F-8E0B-121F0297D6F3}"/>
    <hyperlink ref="C373" r:id="rId362" tooltip="DOI URL" xr:uid="{3F1A9E22-A039-D14F-AACE-38C1441C9AF7}"/>
    <hyperlink ref="C374" r:id="rId363" tooltip="DOI URL" xr:uid="{FFACCAD3-BF3B-1F4C-BE64-3118862E0E2A}"/>
    <hyperlink ref="C369" r:id="rId364" tooltip="DOI URL" xr:uid="{9171B6DE-B0DB-B946-A4DE-22ECD2BE04E2}"/>
    <hyperlink ref="C366" r:id="rId365" tooltip="DOI URL" xr:uid="{94807925-D0EF-D543-81AC-B5CBB7DF60A8}"/>
    <hyperlink ref="C371" r:id="rId366" tooltip="DOI URL" xr:uid="{84117D78-663B-9F45-B843-AD23AA5555A8}"/>
    <hyperlink ref="C372" r:id="rId367" tooltip="DOI URL" xr:uid="{AF2F7694-90EA-F941-9E4E-1D13571178C4}"/>
    <hyperlink ref="C375" r:id="rId368" tooltip="DOI URL" xr:uid="{B3622574-3213-EC40-8816-9DF943AF630F}"/>
    <hyperlink ref="C378" r:id="rId369" tooltip="DOI URL" xr:uid="{E5EB1876-9438-9A4C-908D-3C282F14EDC0}"/>
    <hyperlink ref="C377" r:id="rId370" tooltip="DOI URL" xr:uid="{F682AC65-2D46-5F42-BE60-34BA3C0EB555}"/>
    <hyperlink ref="C380" r:id="rId371" tooltip="DOI URL" xr:uid="{DEA9BF75-6F70-8C45-BEEE-7B8E3DA2CC32}"/>
    <hyperlink ref="C379" r:id="rId372" tooltip="DOI URL" xr:uid="{A8B3BD2A-85ED-4D4D-B022-F7C38E0666C0}"/>
    <hyperlink ref="C381" r:id="rId373" tooltip="DOI URL" xr:uid="{1D47A8C3-B403-BC42-AD14-DF1951304820}"/>
    <hyperlink ref="C376" r:id="rId374" tooltip="DOI URL" xr:uid="{ACE807A5-C860-0941-8229-9CEAFEEA1DF5}"/>
    <hyperlink ref="C382" r:id="rId375" tooltip="DOI URL" xr:uid="{0F93D732-57E5-5E42-8BD4-FCA48C315D46}"/>
    <hyperlink ref="C383" r:id="rId376" tooltip="DOI URL" xr:uid="{C45EBFD3-9BA7-0941-B298-CB78D350EC0E}"/>
    <hyperlink ref="C384" r:id="rId377" tooltip="DOI URL" xr:uid="{A7094691-5E0F-234B-8F7E-6F37994D496D}"/>
    <hyperlink ref="C386" r:id="rId378" tooltip="DOI URL" xr:uid="{20474005-4114-4047-A12C-ECA384426C58}"/>
    <hyperlink ref="C385" r:id="rId379" tooltip="DOI URL" xr:uid="{935970FC-09F7-3C47-9939-8AAA49653919}"/>
    <hyperlink ref="C387" r:id="rId380" tooltip="DOI URL" xr:uid="{92E81581-8327-7E4F-8202-FD64EB97120F}"/>
    <hyperlink ref="C388" r:id="rId381" tooltip="DOI URL" xr:uid="{628124DF-3742-4542-8EF3-2B1FD20A292A}"/>
    <hyperlink ref="C389" r:id="rId382" tooltip="DOI URL" xr:uid="{052BA9F1-CA0F-664C-BCB7-49E6736F8E9C}"/>
    <hyperlink ref="C390" r:id="rId383" tooltip="DOI URL" xr:uid="{BD1B6398-F76E-0840-906D-34B4F9ED18E6}"/>
    <hyperlink ref="C391" r:id="rId384" tooltip="DOI URL" xr:uid="{11925F13-7B92-214C-8AC6-2488DA9E4570}"/>
    <hyperlink ref="C394" r:id="rId385" tooltip="DOI URL" xr:uid="{EFD055B6-9E16-C249-8230-C3B09FF5A897}"/>
    <hyperlink ref="C395" r:id="rId386" tooltip="DOI URL" xr:uid="{9D4F69A9-77E1-594D-BEFC-2F0015A61026}"/>
    <hyperlink ref="C392" r:id="rId387" xr:uid="{97CC79A2-23D1-6343-BD61-5F4901CDC1C0}"/>
    <hyperlink ref="C393" r:id="rId388" tooltip="DOI URL" xr:uid="{5242B0F9-1D46-7E43-9F25-4ED73DBE3B41}"/>
    <hyperlink ref="C396" r:id="rId389" tooltip="DOI URL" xr:uid="{268D28C9-468E-4A43-9674-0301D8332114}"/>
    <hyperlink ref="C397" r:id="rId390" tooltip="DOI URL" xr:uid="{EEA518B6-88A1-1A4A-BCB1-440B60177888}"/>
    <hyperlink ref="C398" r:id="rId391" tooltip="DOI URL" xr:uid="{5BE7ABF8-FCAB-AC4D-810A-E7AE9EBD361C}"/>
    <hyperlink ref="C399" r:id="rId392" tooltip="DOI URL" xr:uid="{69A6E3E0-0789-5545-AEE2-C39C1493742D}"/>
    <hyperlink ref="C401" r:id="rId393" tooltip="DOI URL" xr:uid="{089C7573-BD23-F24F-87CF-72EF293D8C3A}"/>
    <hyperlink ref="C400" r:id="rId394" tooltip="DOI URL" xr:uid="{F661A09A-72B5-404E-9565-90F1841F8899}"/>
    <hyperlink ref="C405" r:id="rId395" tooltip="DOI URL" xr:uid="{F3CE6EE1-7A09-D64D-88FB-7D2FD9534A96}"/>
    <hyperlink ref="C404" r:id="rId396" tooltip="DOI URL" xr:uid="{6E0DA2BE-8DCD-2D48-8DD9-A9892EB84EAC}"/>
    <hyperlink ref="C402" r:id="rId397" tooltip="DOI URL" xr:uid="{3678A646-C14F-904B-B2D6-7EE3704E2821}"/>
    <hyperlink ref="C403" r:id="rId398" tooltip="DOI URL" xr:uid="{E85B7164-DC0D-FF4F-87ED-5953DC1DA0C8}"/>
    <hyperlink ref="C407" r:id="rId399" tooltip="DOI URL" xr:uid="{D719D38F-9030-A943-A81C-FB5F463C3018}"/>
    <hyperlink ref="C406" r:id="rId400" tooltip="DOI URL" xr:uid="{F607F91E-5481-AB43-944B-65FE0122CB95}"/>
    <hyperlink ref="C408" r:id="rId401" tooltip="DOI URL" xr:uid="{DB57593D-38C9-534D-A0FB-FAF85477E54F}"/>
    <hyperlink ref="C410" r:id="rId402" tooltip="DOI URL" xr:uid="{D5874499-E914-C441-A907-CD7B24DBEF2F}"/>
    <hyperlink ref="C412" r:id="rId403" tooltip="DOI URL" xr:uid="{4EFA9031-0062-EF4F-8B69-CF0AC111CF6B}"/>
    <hyperlink ref="C411" r:id="rId404" tooltip="DOI URL" xr:uid="{1BE01FDC-6F04-A741-A1F0-59D762E917AB}"/>
    <hyperlink ref="C413" r:id="rId405" tooltip="DOI URL" xr:uid="{293B5CF1-E6D8-C34A-92CB-AB48E0FB7136}"/>
    <hyperlink ref="C414" r:id="rId406" tooltip="DOI URL" xr:uid="{2EAEE36C-330C-9A47-9AD7-512F87248341}"/>
    <hyperlink ref="C409" r:id="rId407" tooltip="DOI URL" xr:uid="{C722E993-D0DB-E148-B980-0E97B13FEC58}"/>
    <hyperlink ref="C419" r:id="rId408" tooltip="DOI URL" xr:uid="{6EBCE873-0221-6343-BCD0-B47E30FE1170}"/>
    <hyperlink ref="C418" r:id="rId409" tooltip="DOI URL" xr:uid="{3B9F19BB-028B-D148-A11A-A1FBA3F11388}"/>
    <hyperlink ref="C415" r:id="rId410" tooltip="DOI URL" xr:uid="{E93C36CD-C192-354F-8F0E-7741C1FA68E8}"/>
    <hyperlink ref="C416" r:id="rId411" tooltip="DOI URL" xr:uid="{FCD0BDB3-2E6B-C94C-AB11-AF118CAF794E}"/>
    <hyperlink ref="C420" r:id="rId412" tooltip="DOI URL" xr:uid="{D9281938-C488-2444-A5A7-BEE85F7E3909}"/>
    <hyperlink ref="C421" r:id="rId413" tooltip="DOI URL" xr:uid="{93FF1969-28CE-CB49-B550-20BEA73221BB}"/>
    <hyperlink ref="C417" r:id="rId414" tooltip="DOI URL" xr:uid="{8728432A-78F4-5346-8D64-49AF602A7BAF}"/>
    <hyperlink ref="C240" r:id="rId415" xr:uid="{5FEB4AEB-5A0B-8B4E-8CEC-28828EB25E7C}"/>
    <hyperlink ref="C241" r:id="rId416" xr:uid="{A4791F26-8822-2F4C-A5E9-5E82523C8204}"/>
    <hyperlink ref="C244" r:id="rId417" xr:uid="{DDD6C84B-A3D8-B547-9D31-005CA85732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Zhengkai Tu</dc:creator>
  <cp:lastModifiedBy>Zhengkai Tu</cp:lastModifiedBy>
  <dcterms:created xsi:type="dcterms:W3CDTF">2026-09-24T21:50:34Z</dcterms:created>
  <dcterms:modified xsi:type="dcterms:W3CDTF">2026-09-25T01:56:19Z</dcterms:modified>
</cp:coreProperties>
</file>