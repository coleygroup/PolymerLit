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tu/Desktop/PolymerScribe/data/realistic_images/"/>
    </mc:Choice>
  </mc:AlternateContent>
  <xr:revisionPtr revIDLastSave="0" documentId="13_ncr:1_{0F995983-9193-0E47-8789-461CDEEB0F4B}" xr6:coauthVersionLast="47" xr6:coauthVersionMax="47" xr10:uidLastSave="{00000000-0000-0000-0000-000000000000}"/>
  <bookViews>
    <workbookView xWindow="0" yWindow="740" windowWidth="34560" windowHeight="21600" xr2:uid="{03CBA641-2F2D-7746-8EB1-014D90660C93}"/>
  </bookViews>
  <sheets>
    <sheet name="Generic" sheetId="4" r:id="rId1"/>
    <sheet name="Ladder" sheetId="7" r:id="rId2"/>
  </sheets>
  <definedNames>
    <definedName name="_xlnm._FilterDatabase" localSheetId="0" hidden="1">Generic!$A$1:$I$1</definedName>
    <definedName name="_xlnm._FilterDatabase" localSheetId="1" hidden="1">Ladder!$A$1:$I$1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7" i="4" l="1" a="1"/>
  <c r="I417" i="4" s="1"/>
  <c r="A417" i="4" s="1"/>
  <c r="I421" i="4" a="1"/>
  <c r="I421" i="4" s="1"/>
  <c r="A421" i="4" s="1"/>
  <c r="I420" i="4" a="1"/>
  <c r="I420" i="4" s="1"/>
  <c r="A420" i="4" s="1"/>
  <c r="I416" i="4" a="1"/>
  <c r="I416" i="4" s="1"/>
  <c r="A416" i="4" s="1"/>
  <c r="I415" i="4" a="1"/>
  <c r="I415" i="4" s="1"/>
  <c r="A415" i="4" s="1"/>
  <c r="I418" i="4" a="1"/>
  <c r="I418" i="4" s="1"/>
  <c r="A418" i="4" s="1"/>
  <c r="I419" i="4" a="1"/>
  <c r="I419" i="4" s="1"/>
  <c r="A419" i="4" s="1"/>
  <c r="I409" i="4" a="1"/>
  <c r="I409" i="4" s="1"/>
  <c r="A409" i="4" s="1"/>
  <c r="I414" i="4" a="1"/>
  <c r="I414" i="4" s="1"/>
  <c r="A414" i="4" s="1"/>
  <c r="I413" i="4" a="1"/>
  <c r="I413" i="4" s="1"/>
  <c r="A413" i="4" s="1"/>
  <c r="I411" i="4" a="1"/>
  <c r="I411" i="4" s="1"/>
  <c r="A411" i="4" s="1"/>
  <c r="I412" i="4" a="1"/>
  <c r="I412" i="4" s="1"/>
  <c r="A412" i="4" s="1"/>
  <c r="I410" i="4" a="1"/>
  <c r="I410" i="4" s="1"/>
  <c r="A410" i="4" s="1"/>
  <c r="I406" i="4" a="1"/>
  <c r="I406" i="4" s="1"/>
  <c r="A406" i="4" s="1"/>
  <c r="I408" i="4" a="1"/>
  <c r="I408" i="4" s="1"/>
  <c r="A408" i="4" s="1"/>
  <c r="I407" i="4" a="1"/>
  <c r="I407" i="4" s="1"/>
  <c r="A407" i="4" s="1"/>
  <c r="I3" i="7" a="1"/>
  <c r="I3" i="7" s="1"/>
  <c r="A3" i="7" s="1"/>
  <c r="I4" i="7" a="1"/>
  <c r="I4" i="7" s="1"/>
  <c r="A4" i="7" s="1"/>
  <c r="I28" i="7" a="1"/>
  <c r="I28" i="7" s="1"/>
  <c r="A28" i="7" s="1"/>
  <c r="I27" i="7" a="1"/>
  <c r="I27" i="7" s="1"/>
  <c r="A27" i="7" s="1"/>
  <c r="I29" i="7" a="1"/>
  <c r="I29" i="7" s="1"/>
  <c r="A29" i="7" s="1"/>
  <c r="I19" i="7" a="1"/>
  <c r="I19" i="7" s="1"/>
  <c r="A19" i="7" s="1"/>
  <c r="I18" i="7" a="1"/>
  <c r="I18" i="7" s="1"/>
  <c r="A18" i="7" s="1"/>
  <c r="I17" i="7" a="1"/>
  <c r="I17" i="7" s="1"/>
  <c r="A17" i="7" s="1"/>
  <c r="I22" i="7" a="1"/>
  <c r="I22" i="7" s="1"/>
  <c r="A22" i="7" s="1"/>
  <c r="I21" i="7" a="1"/>
  <c r="I21" i="7" s="1"/>
  <c r="A21" i="7" s="1"/>
  <c r="I20" i="7" a="1"/>
  <c r="I20" i="7" s="1"/>
  <c r="A20" i="7" s="1"/>
  <c r="I11" i="7" a="1"/>
  <c r="I11" i="7" s="1"/>
  <c r="A11" i="7" s="1"/>
  <c r="I12" i="7" a="1"/>
  <c r="I12" i="7" s="1"/>
  <c r="A12" i="7" s="1"/>
  <c r="I13" i="7" a="1"/>
  <c r="I13" i="7" s="1"/>
  <c r="A13" i="7" s="1"/>
  <c r="I14" i="7" a="1"/>
  <c r="I14" i="7" s="1"/>
  <c r="A14" i="7" s="1"/>
  <c r="I15" i="7" a="1"/>
  <c r="I15" i="7" s="1"/>
  <c r="A15" i="7" s="1"/>
  <c r="I16" i="7" a="1"/>
  <c r="I16" i="7" s="1"/>
  <c r="A16" i="7" s="1"/>
  <c r="I9" i="7" a="1"/>
  <c r="I9" i="7" s="1"/>
  <c r="A9" i="7" s="1"/>
  <c r="I10" i="7" a="1"/>
  <c r="I10" i="7" s="1"/>
  <c r="A10" i="7" s="1"/>
  <c r="I8" i="7" a="1"/>
  <c r="I8" i="7" s="1"/>
  <c r="A8" i="7" s="1"/>
  <c r="I7" i="7" a="1"/>
  <c r="I7" i="7" s="1"/>
  <c r="A7" i="7" s="1"/>
  <c r="I25" i="7" a="1"/>
  <c r="I25" i="7" s="1"/>
  <c r="A25" i="7" s="1"/>
  <c r="I24" i="7" a="1"/>
  <c r="I24" i="7" s="1"/>
  <c r="A24" i="7" s="1"/>
  <c r="I5" i="7" a="1"/>
  <c r="I5" i="7" s="1"/>
  <c r="A5" i="7" s="1"/>
  <c r="I6" i="7" a="1"/>
  <c r="I6" i="7" s="1"/>
  <c r="A6" i="7" s="1"/>
  <c r="I403" i="4" a="1"/>
  <c r="I403" i="4" s="1"/>
  <c r="A403" i="4" s="1"/>
  <c r="I402" i="4" a="1"/>
  <c r="I402" i="4" s="1"/>
  <c r="A402" i="4" s="1"/>
  <c r="I404" i="4" a="1"/>
  <c r="I404" i="4" s="1"/>
  <c r="A404" i="4" s="1"/>
  <c r="I405" i="4" a="1"/>
  <c r="I405" i="4" s="1"/>
  <c r="A405" i="4" s="1"/>
  <c r="I400" i="4" a="1"/>
  <c r="I400" i="4" s="1"/>
  <c r="A400" i="4" s="1"/>
  <c r="I401" i="4" a="1"/>
  <c r="I401" i="4" s="1"/>
  <c r="A401" i="4" s="1"/>
  <c r="I399" i="4" a="1"/>
  <c r="I399" i="4" s="1"/>
  <c r="A399" i="4" s="1"/>
  <c r="I398" i="4" a="1"/>
  <c r="I398" i="4" s="1"/>
  <c r="A398" i="4" s="1"/>
  <c r="I397" i="4" a="1"/>
  <c r="I397" i="4" s="1"/>
  <c r="A397" i="4" s="1"/>
  <c r="I396" i="4" a="1"/>
  <c r="I396" i="4" s="1"/>
  <c r="A396" i="4" s="1"/>
  <c r="I393" i="4" a="1"/>
  <c r="I393" i="4" s="1"/>
  <c r="A393" i="4" s="1"/>
  <c r="I392" i="4" a="1"/>
  <c r="I392" i="4" s="1"/>
  <c r="A392" i="4" s="1"/>
  <c r="I395" i="4" a="1"/>
  <c r="I395" i="4" s="1"/>
  <c r="A395" i="4" s="1"/>
  <c r="I394" i="4" a="1"/>
  <c r="I394" i="4" s="1"/>
  <c r="A394" i="4" s="1"/>
  <c r="I391" i="4" a="1"/>
  <c r="I391" i="4" s="1"/>
  <c r="A391" i="4" s="1"/>
  <c r="I390" i="4" a="1"/>
  <c r="I390" i="4" s="1"/>
  <c r="A390" i="4" s="1"/>
  <c r="I389" i="4" a="1"/>
  <c r="I389" i="4" s="1"/>
  <c r="A389" i="4" s="1"/>
  <c r="I388" i="4" a="1"/>
  <c r="I388" i="4" s="1"/>
  <c r="A388" i="4" s="1"/>
  <c r="I387" i="4" a="1"/>
  <c r="I387" i="4" s="1"/>
  <c r="A387" i="4" s="1"/>
  <c r="I386" i="4" a="1"/>
  <c r="I386" i="4" s="1"/>
  <c r="A386" i="4" s="1"/>
  <c r="I385" i="4" a="1"/>
  <c r="I385" i="4" s="1"/>
  <c r="A385" i="4" s="1"/>
  <c r="I384" i="4" a="1"/>
  <c r="I384" i="4" s="1"/>
  <c r="A384" i="4" s="1"/>
  <c r="I383" i="4" a="1"/>
  <c r="I383" i="4" s="1"/>
  <c r="A383" i="4" s="1"/>
  <c r="I382" i="4" a="1"/>
  <c r="I382" i="4" s="1"/>
  <c r="A382" i="4" s="1"/>
  <c r="I376" i="4" a="1"/>
  <c r="I376" i="4" s="1"/>
  <c r="A376" i="4" s="1"/>
  <c r="I381" i="4" a="1"/>
  <c r="I381" i="4" s="1"/>
  <c r="A381" i="4" s="1"/>
  <c r="I379" i="4" a="1"/>
  <c r="I379" i="4" s="1"/>
  <c r="A379" i="4" s="1"/>
  <c r="I380" i="4" a="1"/>
  <c r="I380" i="4" s="1"/>
  <c r="A380" i="4" s="1"/>
  <c r="I377" i="4" a="1"/>
  <c r="I377" i="4" s="1"/>
  <c r="A377" i="4" s="1"/>
  <c r="I378" i="4" a="1"/>
  <c r="I378" i="4" s="1"/>
  <c r="A378" i="4" s="1"/>
  <c r="I375" i="4" a="1"/>
  <c r="I375" i="4" s="1"/>
  <c r="A375" i="4" s="1"/>
  <c r="I372" i="4" a="1"/>
  <c r="I372" i="4" s="1"/>
  <c r="A372" i="4" s="1"/>
  <c r="I371" i="4" a="1"/>
  <c r="I371" i="4" s="1"/>
  <c r="A371" i="4" s="1"/>
  <c r="I366" i="4" a="1"/>
  <c r="I366" i="4" s="1"/>
  <c r="A366" i="4" s="1"/>
  <c r="I369" i="4" a="1"/>
  <c r="I369" i="4" s="1"/>
  <c r="A369" i="4" s="1"/>
  <c r="I374" i="4" a="1"/>
  <c r="I374" i="4" s="1"/>
  <c r="A374" i="4" s="1"/>
  <c r="I373" i="4" a="1"/>
  <c r="I373" i="4" s="1"/>
  <c r="A373" i="4" s="1"/>
  <c r="I370" i="4" a="1"/>
  <c r="I370" i="4" s="1"/>
  <c r="A370" i="4" s="1"/>
  <c r="I368" i="4" a="1"/>
  <c r="I368" i="4" s="1"/>
  <c r="A368" i="4" s="1"/>
  <c r="I367" i="4" a="1"/>
  <c r="I367" i="4" s="1"/>
  <c r="A367" i="4" s="1"/>
  <c r="I365" i="4" a="1"/>
  <c r="I365" i="4" s="1"/>
  <c r="A365" i="4" s="1"/>
  <c r="I364" i="4" a="1"/>
  <c r="I364" i="4" s="1"/>
  <c r="A364" i="4" s="1"/>
  <c r="I361" i="4" a="1"/>
  <c r="I361" i="4" s="1"/>
  <c r="A361" i="4" s="1"/>
  <c r="I362" i="4" a="1"/>
  <c r="I362" i="4" s="1"/>
  <c r="A362" i="4" s="1"/>
  <c r="I363" i="4" a="1"/>
  <c r="I363" i="4" s="1"/>
  <c r="A363" i="4" s="1"/>
  <c r="I360" i="4" a="1"/>
  <c r="I360" i="4" s="1"/>
  <c r="A360" i="4" s="1"/>
  <c r="A350" i="4"/>
  <c r="I359" i="4" a="1"/>
  <c r="I359" i="4" s="1"/>
  <c r="A359" i="4" s="1"/>
  <c r="I358" i="4" a="1"/>
  <c r="I358" i="4" s="1"/>
  <c r="A358" i="4" s="1"/>
  <c r="I357" i="4" a="1"/>
  <c r="I357" i="4" s="1"/>
  <c r="A357" i="4" s="1"/>
  <c r="I356" i="4" a="1"/>
  <c r="I356" i="4" s="1"/>
  <c r="A356" i="4" s="1"/>
  <c r="I355" i="4" a="1"/>
  <c r="I355" i="4" s="1"/>
  <c r="A355" i="4" s="1"/>
  <c r="I354" i="4" a="1"/>
  <c r="I354" i="4" s="1"/>
  <c r="A354" i="4" s="1"/>
  <c r="I353" i="4" a="1"/>
  <c r="I353" i="4" s="1"/>
  <c r="A353" i="4" s="1"/>
  <c r="I26" i="7" a="1"/>
  <c r="I26" i="7" s="1"/>
  <c r="A26" i="7" s="1"/>
  <c r="I352" i="4" a="1"/>
  <c r="I352" i="4" s="1"/>
  <c r="A352" i="4" s="1"/>
  <c r="I23" i="7" a="1"/>
  <c r="I23" i="7" s="1"/>
  <c r="A23" i="7" s="1"/>
  <c r="I351" i="4" a="1"/>
  <c r="I351" i="4" s="1"/>
  <c r="A351" i="4" s="1"/>
  <c r="I350" i="4" a="1"/>
  <c r="I350" i="4" s="1"/>
  <c r="H119" i="4" a="1"/>
  <c r="H119" i="4" s="1"/>
  <c r="H120" i="4" a="1"/>
  <c r="H120" i="4" s="1"/>
  <c r="A120" i="4" s="1"/>
  <c r="H117" i="4" a="1"/>
  <c r="H117" i="4" s="1"/>
  <c r="H118" i="4" a="1"/>
  <c r="H118" i="4" s="1"/>
  <c r="H113" i="4" a="1"/>
  <c r="H113" i="4" s="1"/>
  <c r="H115" i="4" a="1"/>
  <c r="H115" i="4" s="1"/>
  <c r="A115" i="4" s="1"/>
  <c r="H116" i="4" a="1"/>
  <c r="H116" i="4" s="1"/>
  <c r="H114" i="4" a="1"/>
  <c r="H114" i="4" s="1"/>
  <c r="H108" i="4" a="1"/>
  <c r="H108" i="4" s="1"/>
  <c r="H112" i="4" a="1"/>
  <c r="H112" i="4" s="1"/>
  <c r="H109" i="4" a="1"/>
  <c r="H109" i="4" s="1"/>
  <c r="H110" i="4" a="1"/>
  <c r="H110" i="4" s="1"/>
  <c r="H111" i="4" a="1"/>
  <c r="H111" i="4" s="1"/>
  <c r="I110" i="4" a="1"/>
  <c r="I110" i="4" s="1"/>
  <c r="I111" i="4" a="1"/>
  <c r="I111" i="4" s="1"/>
  <c r="I109" i="4" a="1"/>
  <c r="I109" i="4" s="1"/>
  <c r="I112" i="4" a="1"/>
  <c r="I112" i="4" s="1"/>
  <c r="I108" i="4" a="1"/>
  <c r="I108" i="4" s="1"/>
  <c r="I114" i="4" a="1"/>
  <c r="I114" i="4" s="1"/>
  <c r="I120" i="4" a="1"/>
  <c r="I120" i="4" s="1"/>
  <c r="I117" i="4" a="1"/>
  <c r="I117" i="4" s="1"/>
  <c r="I118" i="4" a="1"/>
  <c r="I118" i="4" s="1"/>
  <c r="I113" i="4" a="1"/>
  <c r="I113" i="4" s="1"/>
  <c r="I115" i="4" a="1"/>
  <c r="I115" i="4" s="1"/>
  <c r="I116" i="4" a="1"/>
  <c r="I116" i="4" s="1"/>
  <c r="I119" i="4" a="1"/>
  <c r="I119" i="4" s="1"/>
  <c r="H107" i="4" a="1"/>
  <c r="H107" i="4" s="1"/>
  <c r="H103" i="4" a="1"/>
  <c r="H103" i="4" s="1"/>
  <c r="H102" i="4" a="1"/>
  <c r="H102" i="4" s="1"/>
  <c r="H101" i="4" a="1"/>
  <c r="H101" i="4" s="1"/>
  <c r="H104" i="4" a="1"/>
  <c r="H104" i="4" s="1"/>
  <c r="H105" i="4" a="1"/>
  <c r="H105" i="4" s="1"/>
  <c r="H106" i="4" a="1"/>
  <c r="H106" i="4" s="1"/>
  <c r="H98" i="4" a="1"/>
  <c r="H98" i="4" s="1"/>
  <c r="H99" i="4" a="1"/>
  <c r="H99" i="4" s="1"/>
  <c r="H100" i="4" a="1"/>
  <c r="H100" i="4" s="1"/>
  <c r="A100" i="4" s="1"/>
  <c r="H96" i="4" a="1"/>
  <c r="H96" i="4" s="1"/>
  <c r="H97" i="4" a="1"/>
  <c r="H97" i="4" s="1"/>
  <c r="H92" i="4" a="1"/>
  <c r="H92" i="4" s="1"/>
  <c r="H93" i="4" a="1"/>
  <c r="H93" i="4" s="1"/>
  <c r="H89" i="4" a="1"/>
  <c r="H89" i="4" s="1"/>
  <c r="H94" i="4" a="1"/>
  <c r="H94" i="4" s="1"/>
  <c r="H95" i="4" a="1"/>
  <c r="H95" i="4" s="1"/>
  <c r="H91" i="4" a="1"/>
  <c r="H91" i="4" s="1"/>
  <c r="A91" i="4" s="1"/>
  <c r="I91" i="4" a="1"/>
  <c r="I91" i="4" s="1"/>
  <c r="I95" i="4" a="1"/>
  <c r="I95" i="4" s="1"/>
  <c r="I94" i="4" a="1"/>
  <c r="I94" i="4" s="1"/>
  <c r="I89" i="4" a="1"/>
  <c r="I89" i="4" s="1"/>
  <c r="I93" i="4" a="1"/>
  <c r="I93" i="4" s="1"/>
  <c r="I92" i="4" a="1"/>
  <c r="I92" i="4" s="1"/>
  <c r="I97" i="4" a="1"/>
  <c r="I97" i="4" s="1"/>
  <c r="I96" i="4" a="1"/>
  <c r="I96" i="4" s="1"/>
  <c r="I100" i="4" a="1"/>
  <c r="I100" i="4" s="1"/>
  <c r="I99" i="4" a="1"/>
  <c r="I99" i="4" s="1"/>
  <c r="I98" i="4" a="1"/>
  <c r="I98" i="4" s="1"/>
  <c r="I106" i="4" a="1"/>
  <c r="I106" i="4" s="1"/>
  <c r="I105" i="4" a="1"/>
  <c r="I105" i="4" s="1"/>
  <c r="I104" i="4" a="1"/>
  <c r="I104" i="4" s="1"/>
  <c r="I101" i="4" a="1"/>
  <c r="I101" i="4" s="1"/>
  <c r="I102" i="4" a="1"/>
  <c r="I102" i="4" s="1"/>
  <c r="I103" i="4" a="1"/>
  <c r="I103" i="4" s="1"/>
  <c r="I107" i="4" a="1"/>
  <c r="I107" i="4" s="1"/>
  <c r="H90" i="4" a="1"/>
  <c r="H90" i="4" s="1"/>
  <c r="H88" i="4" a="1"/>
  <c r="H88" i="4" s="1"/>
  <c r="H85" i="4" a="1"/>
  <c r="H85" i="4" s="1"/>
  <c r="H86" i="4" a="1"/>
  <c r="H86" i="4" s="1"/>
  <c r="H87" i="4" a="1"/>
  <c r="H87" i="4" s="1"/>
  <c r="H84" i="4" a="1"/>
  <c r="H84" i="4" s="1"/>
  <c r="H80" i="4" a="1"/>
  <c r="H80" i="4" s="1"/>
  <c r="H81" i="4" a="1"/>
  <c r="H81" i="4" s="1"/>
  <c r="H82" i="4" a="1"/>
  <c r="H82" i="4" s="1"/>
  <c r="H83" i="4" a="1"/>
  <c r="H83" i="4" s="1"/>
  <c r="I83" i="4" a="1"/>
  <c r="I83" i="4" s="1"/>
  <c r="I82" i="4" a="1"/>
  <c r="I82" i="4" s="1"/>
  <c r="I81" i="4" a="1"/>
  <c r="I81" i="4" s="1"/>
  <c r="I80" i="4" a="1"/>
  <c r="I80" i="4" s="1"/>
  <c r="I84" i="4" a="1"/>
  <c r="I84" i="4" s="1"/>
  <c r="I87" i="4" a="1"/>
  <c r="I87" i="4" s="1"/>
  <c r="I86" i="4" a="1"/>
  <c r="I86" i="4" s="1"/>
  <c r="I85" i="4" a="1"/>
  <c r="I85" i="4" s="1"/>
  <c r="I88" i="4" a="1"/>
  <c r="I88" i="4" s="1"/>
  <c r="I90" i="4" a="1"/>
  <c r="I90" i="4" s="1"/>
  <c r="H79" i="4" a="1"/>
  <c r="H79" i="4" s="1"/>
  <c r="H76" i="4" a="1"/>
  <c r="H76" i="4" s="1"/>
  <c r="H77" i="4" a="1"/>
  <c r="H77" i="4" s="1"/>
  <c r="H78" i="4" a="1"/>
  <c r="H78" i="4" s="1"/>
  <c r="H75" i="4" a="1"/>
  <c r="H75" i="4" s="1"/>
  <c r="H68" i="4" a="1"/>
  <c r="H68" i="4" s="1"/>
  <c r="H73" i="4" a="1"/>
  <c r="H73" i="4" s="1"/>
  <c r="H74" i="4" a="1"/>
  <c r="H74" i="4" s="1"/>
  <c r="I74" i="4" a="1"/>
  <c r="I74" i="4" s="1"/>
  <c r="I73" i="4" a="1"/>
  <c r="I73" i="4" s="1"/>
  <c r="I68" i="4" a="1"/>
  <c r="I68" i="4" s="1"/>
  <c r="I75" i="4" a="1"/>
  <c r="I75" i="4" s="1"/>
  <c r="I78" i="4" a="1"/>
  <c r="I78" i="4" s="1"/>
  <c r="I77" i="4" a="1"/>
  <c r="I77" i="4" s="1"/>
  <c r="I76" i="4" a="1"/>
  <c r="I76" i="4" s="1"/>
  <c r="I79" i="4" a="1"/>
  <c r="I79" i="4" s="1"/>
  <c r="H66" i="4" a="1"/>
  <c r="H66" i="4" s="1"/>
  <c r="H63" i="4" a="1"/>
  <c r="H63" i="4" s="1"/>
  <c r="H64" i="4" a="1"/>
  <c r="H64" i="4" s="1"/>
  <c r="H65" i="4" a="1"/>
  <c r="H65" i="4" s="1"/>
  <c r="H57" i="4" a="1"/>
  <c r="H57" i="4" s="1"/>
  <c r="H61" i="4" a="1"/>
  <c r="H61" i="4" s="1"/>
  <c r="H58" i="4" a="1"/>
  <c r="H58" i="4" s="1"/>
  <c r="I58" i="4" a="1"/>
  <c r="I58" i="4" s="1"/>
  <c r="I65" i="4" a="1"/>
  <c r="I65" i="4" s="1"/>
  <c r="I57" i="4" a="1"/>
  <c r="I57" i="4" s="1"/>
  <c r="I61" i="4" a="1"/>
  <c r="I61" i="4" s="1"/>
  <c r="I64" i="4" a="1"/>
  <c r="I64" i="4" s="1"/>
  <c r="I63" i="4" a="1"/>
  <c r="I63" i="4" s="1"/>
  <c r="I66" i="4" a="1"/>
  <c r="I66" i="4" s="1"/>
  <c r="H72" i="4" a="1"/>
  <c r="H72" i="4" s="1"/>
  <c r="H62" i="4" a="1"/>
  <c r="H62" i="4" s="1"/>
  <c r="A62" i="4" s="1"/>
  <c r="H69" i="4" a="1"/>
  <c r="H69" i="4" s="1"/>
  <c r="H70" i="4" a="1"/>
  <c r="H70" i="4" s="1"/>
  <c r="H71" i="4" a="1"/>
  <c r="H71" i="4" s="1"/>
  <c r="H67" i="4" a="1"/>
  <c r="H67" i="4" s="1"/>
  <c r="H59" i="4" a="1"/>
  <c r="H59" i="4" s="1"/>
  <c r="H60" i="4" a="1"/>
  <c r="H60" i="4" s="1"/>
  <c r="I60" i="4" a="1"/>
  <c r="I60" i="4" s="1"/>
  <c r="I59" i="4" a="1"/>
  <c r="I59" i="4" s="1"/>
  <c r="I67" i="4" a="1"/>
  <c r="I67" i="4" s="1"/>
  <c r="I71" i="4" a="1"/>
  <c r="I71" i="4" s="1"/>
  <c r="I70" i="4" a="1"/>
  <c r="I70" i="4" s="1"/>
  <c r="I69" i="4" a="1"/>
  <c r="I69" i="4" s="1"/>
  <c r="I62" i="4" a="1"/>
  <c r="I62" i="4" s="1"/>
  <c r="I72" i="4" a="1"/>
  <c r="I72" i="4" s="1"/>
  <c r="H44" i="4" a="1"/>
  <c r="H44" i="4" s="1"/>
  <c r="H45" i="4" a="1"/>
  <c r="H45" i="4" s="1"/>
  <c r="H43" i="4" a="1"/>
  <c r="H43" i="4" s="1"/>
  <c r="H42" i="4" a="1"/>
  <c r="H42" i="4" s="1"/>
  <c r="H41" i="4" a="1"/>
  <c r="H41" i="4" s="1"/>
  <c r="H39" i="4" a="1"/>
  <c r="H39" i="4" s="1"/>
  <c r="H40" i="4" a="1"/>
  <c r="H40" i="4" s="1"/>
  <c r="I40" i="4" a="1"/>
  <c r="I40" i="4" s="1"/>
  <c r="I39" i="4" a="1"/>
  <c r="I39" i="4"/>
  <c r="I41" i="4" a="1"/>
  <c r="I41" i="4" s="1"/>
  <c r="I42" i="4" a="1"/>
  <c r="I42" i="4" s="1"/>
  <c r="I43" i="4" a="1"/>
  <c r="I43" i="4" s="1"/>
  <c r="I45" i="4" a="1"/>
  <c r="I45" i="4" s="1"/>
  <c r="I44" i="4" a="1"/>
  <c r="I44" i="4" s="1"/>
  <c r="H55" i="4" a="1"/>
  <c r="H55" i="4" s="1"/>
  <c r="H56" i="4" a="1"/>
  <c r="H56" i="4" s="1"/>
  <c r="H52" i="4" a="1"/>
  <c r="H52" i="4" s="1"/>
  <c r="H51" i="4" a="1"/>
  <c r="H51" i="4"/>
  <c r="H54" i="4" a="1"/>
  <c r="H54" i="4" s="1"/>
  <c r="H48" i="4" a="1"/>
  <c r="H48" i="4" s="1"/>
  <c r="H49" i="4" a="1"/>
  <c r="H49" i="4" s="1"/>
  <c r="H50" i="4" a="1"/>
  <c r="H50" i="4" s="1"/>
  <c r="H53" i="4" a="1"/>
  <c r="H53" i="4" s="1"/>
  <c r="H47" i="4" a="1"/>
  <c r="H47" i="4" s="1"/>
  <c r="H46" i="4" a="1"/>
  <c r="H46" i="4" s="1"/>
  <c r="I46" i="4" a="1"/>
  <c r="I46" i="4" s="1"/>
  <c r="I47" i="4" a="1"/>
  <c r="I47" i="4" s="1"/>
  <c r="I2" i="7" a="1"/>
  <c r="I2" i="7" s="1"/>
  <c r="H2" i="7" a="1"/>
  <c r="H2" i="7" s="1"/>
  <c r="A2" i="7" s="1"/>
  <c r="I53" i="4" a="1"/>
  <c r="I53" i="4" s="1"/>
  <c r="I50" i="4" a="1"/>
  <c r="I50" i="4" s="1"/>
  <c r="I49" i="4" a="1"/>
  <c r="I49" i="4" s="1"/>
  <c r="I48" i="4" a="1"/>
  <c r="I48" i="4" s="1"/>
  <c r="I54" i="4" a="1"/>
  <c r="I54" i="4" s="1"/>
  <c r="I51" i="4" a="1"/>
  <c r="I51" i="4" s="1"/>
  <c r="I52" i="4" a="1"/>
  <c r="I52" i="4" s="1"/>
  <c r="I56" i="4" a="1"/>
  <c r="I56" i="4" s="1"/>
  <c r="I55" i="4" a="1"/>
  <c r="I55" i="4" s="1"/>
  <c r="H36" i="4" a="1"/>
  <c r="H36" i="4" s="1"/>
  <c r="H37" i="4" a="1"/>
  <c r="H37" i="4" s="1"/>
  <c r="H35" i="4" a="1"/>
  <c r="H35" i="4" s="1"/>
  <c r="H29" i="4" a="1"/>
  <c r="H29" i="4" s="1"/>
  <c r="H30" i="4" a="1"/>
  <c r="H30" i="4" s="1"/>
  <c r="H28" i="4" a="1"/>
  <c r="H28" i="4" s="1"/>
  <c r="H22" i="4" a="1"/>
  <c r="H22" i="4" s="1"/>
  <c r="H21" i="4" a="1"/>
  <c r="H21" i="4" s="1"/>
  <c r="H27" i="4" a="1"/>
  <c r="H27" i="4" s="1"/>
  <c r="H26" i="4" a="1"/>
  <c r="H26" i="4" s="1"/>
  <c r="H23" i="4" a="1"/>
  <c r="H23" i="4" s="1"/>
  <c r="H24" i="4" a="1"/>
  <c r="H24" i="4" s="1"/>
  <c r="H25" i="4" a="1"/>
  <c r="H25" i="4" s="1"/>
  <c r="H19" i="4" a="1"/>
  <c r="H19" i="4" s="1"/>
  <c r="A19" i="4" s="1"/>
  <c r="H20" i="4" a="1"/>
  <c r="H20" i="4" s="1"/>
  <c r="H14" i="4" a="1"/>
  <c r="H14" i="4" s="1"/>
  <c r="I14" i="4" a="1"/>
  <c r="I14" i="4" s="1"/>
  <c r="I20" i="4" a="1"/>
  <c r="I20" i="4" s="1"/>
  <c r="I19" i="4" a="1"/>
  <c r="I19" i="4" s="1"/>
  <c r="I25" i="4" a="1"/>
  <c r="I25" i="4" s="1"/>
  <c r="I24" i="4" a="1"/>
  <c r="I24" i="4" s="1"/>
  <c r="I23" i="4" a="1"/>
  <c r="I23" i="4" s="1"/>
  <c r="I26" i="4" a="1"/>
  <c r="I26" i="4" s="1"/>
  <c r="I27" i="4" a="1"/>
  <c r="I27" i="4" s="1"/>
  <c r="I21" i="4" a="1"/>
  <c r="I21" i="4" s="1"/>
  <c r="I22" i="4" a="1"/>
  <c r="I22" i="4" s="1"/>
  <c r="I28" i="4" a="1"/>
  <c r="I28" i="4" s="1"/>
  <c r="I30" i="4" a="1"/>
  <c r="I30" i="4" s="1"/>
  <c r="I29" i="4" a="1"/>
  <c r="I29" i="4" s="1"/>
  <c r="I35" i="4" a="1"/>
  <c r="I35" i="4" s="1"/>
  <c r="I37" i="4" a="1"/>
  <c r="I37" i="4" s="1"/>
  <c r="I36" i="4" a="1"/>
  <c r="I36" i="4" s="1"/>
  <c r="I34" i="4" a="1"/>
  <c r="I34" i="4" s="1"/>
  <c r="H38" i="4" a="1"/>
  <c r="H38" i="4" s="1"/>
  <c r="A38" i="4" s="1"/>
  <c r="H31" i="4" a="1"/>
  <c r="H31" i="4" s="1"/>
  <c r="H32" i="4" a="1"/>
  <c r="H32" i="4" s="1"/>
  <c r="H33" i="4" a="1"/>
  <c r="H33" i="4" s="1"/>
  <c r="H34" i="4" a="1"/>
  <c r="H34" i="4" s="1"/>
  <c r="I33" i="4" a="1"/>
  <c r="I33" i="4" s="1"/>
  <c r="I32" i="4" a="1"/>
  <c r="I32" i="4" s="1"/>
  <c r="I31" i="4" a="1"/>
  <c r="I31" i="4" s="1"/>
  <c r="I38" i="4" a="1"/>
  <c r="I38" i="4" s="1"/>
  <c r="I6" i="4" a="1"/>
  <c r="I6" i="4" s="1"/>
  <c r="H13" i="4" a="1"/>
  <c r="H13" i="4" s="1"/>
  <c r="H12" i="4" a="1"/>
  <c r="H12" i="4" s="1"/>
  <c r="H11" i="4" a="1"/>
  <c r="H11" i="4" s="1"/>
  <c r="H10" i="4" a="1"/>
  <c r="H10" i="4"/>
  <c r="H9" i="4" a="1"/>
  <c r="H9" i="4" s="1"/>
  <c r="H7" i="4" a="1"/>
  <c r="H7" i="4" s="1"/>
  <c r="A7" i="4" s="1"/>
  <c r="H8" i="4" a="1"/>
  <c r="H8" i="4"/>
  <c r="H5" i="4" a="1"/>
  <c r="H5" i="4" s="1"/>
  <c r="H6" i="4" a="1"/>
  <c r="H6" i="4" s="1"/>
  <c r="I5" i="4" a="1"/>
  <c r="I5" i="4" s="1"/>
  <c r="I8" i="4" a="1"/>
  <c r="I8" i="4" s="1"/>
  <c r="I7" i="4" a="1"/>
  <c r="I7" i="4" s="1"/>
  <c r="I9" i="4" a="1"/>
  <c r="I9" i="4" s="1"/>
  <c r="I10" i="4" a="1"/>
  <c r="I10" i="4" s="1"/>
  <c r="I11" i="4" a="1"/>
  <c r="I11" i="4" s="1"/>
  <c r="I12" i="4" a="1"/>
  <c r="I12" i="4" s="1"/>
  <c r="I13" i="4" a="1"/>
  <c r="I13" i="4" s="1"/>
  <c r="H132" i="4" a="1"/>
  <c r="H132" i="4" s="1"/>
  <c r="H130" i="4" a="1"/>
  <c r="H130" i="4" s="1"/>
  <c r="H18" i="4" a="1"/>
  <c r="H18" i="4" s="1"/>
  <c r="H15" i="4" a="1"/>
  <c r="H15" i="4" s="1"/>
  <c r="H16" i="4" a="1"/>
  <c r="H16" i="4" s="1"/>
  <c r="H17" i="4" a="1"/>
  <c r="H17" i="4" s="1"/>
  <c r="I17" i="4" a="1"/>
  <c r="I17" i="4" s="1"/>
  <c r="I16" i="4" a="1"/>
  <c r="I16" i="4" s="1"/>
  <c r="I15" i="4" a="1"/>
  <c r="I15" i="4" s="1"/>
  <c r="I18" i="4" a="1"/>
  <c r="I18" i="4" s="1"/>
  <c r="I130" i="4" a="1"/>
  <c r="I130" i="4" s="1"/>
  <c r="I132" i="4" a="1"/>
  <c r="I132" i="4" s="1"/>
  <c r="H131" i="4" a="1"/>
  <c r="H131" i="4" s="1"/>
  <c r="I131" i="4" a="1"/>
  <c r="I131" i="4" s="1"/>
  <c r="H133" i="4" a="1"/>
  <c r="H133" i="4" s="1"/>
  <c r="H134" i="4" a="1"/>
  <c r="H134" i="4" s="1"/>
  <c r="I134" i="4" a="1"/>
  <c r="I134" i="4" s="1"/>
  <c r="I133" i="4" a="1"/>
  <c r="I133" i="4" s="1"/>
  <c r="H135" i="4" a="1"/>
  <c r="H135" i="4" s="1"/>
  <c r="I135" i="4" a="1"/>
  <c r="I135" i="4" s="1"/>
  <c r="H129" i="4" a="1"/>
  <c r="H129" i="4" s="1"/>
  <c r="H128" i="4" a="1"/>
  <c r="H128" i="4" s="1"/>
  <c r="H127" i="4" a="1"/>
  <c r="H127" i="4" s="1"/>
  <c r="H125" i="4" a="1"/>
  <c r="H125" i="4" s="1"/>
  <c r="H126" i="4" a="1"/>
  <c r="H126" i="4" s="1"/>
  <c r="H122" i="4" a="1"/>
  <c r="H122" i="4" s="1"/>
  <c r="H124" i="4" a="1"/>
  <c r="H124" i="4" s="1"/>
  <c r="H123" i="4" a="1"/>
  <c r="H123" i="4" s="1"/>
  <c r="H3" i="4" a="1"/>
  <c r="H3" i="4" s="1"/>
  <c r="H4" i="4" a="1"/>
  <c r="H4" i="4" s="1"/>
  <c r="H2" i="4" a="1"/>
  <c r="H2" i="4" s="1"/>
  <c r="H136" i="4" a="1"/>
  <c r="H136" i="4" s="1"/>
  <c r="H121" i="4" a="1"/>
  <c r="H121" i="4" s="1"/>
  <c r="H138" i="4" a="1"/>
  <c r="H138" i="4" s="1"/>
  <c r="H139" i="4" a="1"/>
  <c r="H139" i="4" s="1"/>
  <c r="H140" i="4" a="1"/>
  <c r="H140" i="4" s="1"/>
  <c r="H141" i="4" a="1"/>
  <c r="H141" i="4" s="1"/>
  <c r="H142" i="4" a="1"/>
  <c r="H142" i="4" s="1"/>
  <c r="H143" i="4" a="1"/>
  <c r="H143" i="4" s="1"/>
  <c r="H144" i="4" a="1"/>
  <c r="H144" i="4" s="1"/>
  <c r="H145" i="4" a="1"/>
  <c r="H145" i="4" s="1"/>
  <c r="H146" i="4" a="1"/>
  <c r="H146" i="4" s="1"/>
  <c r="H147" i="4" a="1"/>
  <c r="H147" i="4" s="1"/>
  <c r="H148" i="4" a="1"/>
  <c r="H148" i="4" s="1"/>
  <c r="H149" i="4" a="1"/>
  <c r="H149" i="4" s="1"/>
  <c r="H150" i="4" a="1"/>
  <c r="H150" i="4" s="1"/>
  <c r="H151" i="4" a="1"/>
  <c r="H151" i="4" s="1"/>
  <c r="H152" i="4" a="1"/>
  <c r="H152" i="4" s="1"/>
  <c r="H153" i="4" a="1"/>
  <c r="H153" i="4" s="1"/>
  <c r="H154" i="4" a="1"/>
  <c r="H154" i="4" s="1"/>
  <c r="H155" i="4" a="1"/>
  <c r="H155" i="4" s="1"/>
  <c r="H156" i="4" a="1"/>
  <c r="H156" i="4" s="1"/>
  <c r="H157" i="4" a="1"/>
  <c r="H157" i="4" s="1"/>
  <c r="H158" i="4" a="1"/>
  <c r="H158" i="4" s="1"/>
  <c r="H159" i="4" a="1"/>
  <c r="H159" i="4" s="1"/>
  <c r="H160" i="4" a="1"/>
  <c r="H160" i="4" s="1"/>
  <c r="H161" i="4" a="1"/>
  <c r="H161" i="4" s="1"/>
  <c r="H162" i="4" a="1"/>
  <c r="H162" i="4" s="1"/>
  <c r="H163" i="4" a="1"/>
  <c r="H163" i="4" s="1"/>
  <c r="H164" i="4" a="1"/>
  <c r="H164" i="4" s="1"/>
  <c r="H165" i="4" a="1"/>
  <c r="H165" i="4" s="1"/>
  <c r="H166" i="4" a="1"/>
  <c r="H166" i="4" s="1"/>
  <c r="H167" i="4" a="1"/>
  <c r="H167" i="4" s="1"/>
  <c r="H168" i="4" a="1"/>
  <c r="H168" i="4" s="1"/>
  <c r="H169" i="4" a="1"/>
  <c r="H169" i="4" s="1"/>
  <c r="H170" i="4" a="1"/>
  <c r="H170" i="4" s="1"/>
  <c r="H171" i="4" a="1"/>
  <c r="H171" i="4" s="1"/>
  <c r="H172" i="4" a="1"/>
  <c r="H172" i="4" s="1"/>
  <c r="H174" i="4" a="1"/>
  <c r="H174" i="4" s="1"/>
  <c r="H175" i="4" a="1"/>
  <c r="H175" i="4" s="1"/>
  <c r="H173" i="4" a="1"/>
  <c r="H173" i="4" s="1"/>
  <c r="H176" i="4" a="1"/>
  <c r="H176" i="4" s="1"/>
  <c r="H177" i="4" a="1"/>
  <c r="H177" i="4" s="1"/>
  <c r="H178" i="4" a="1"/>
  <c r="H178" i="4" s="1"/>
  <c r="H179" i="4" a="1"/>
  <c r="H179" i="4" s="1"/>
  <c r="H181" i="4" a="1"/>
  <c r="H181" i="4" s="1"/>
  <c r="H182" i="4" a="1"/>
  <c r="H182" i="4" s="1"/>
  <c r="H180" i="4" a="1"/>
  <c r="H180" i="4" s="1"/>
  <c r="H183" i="4" a="1"/>
  <c r="H183" i="4" s="1"/>
  <c r="H184" i="4" a="1"/>
  <c r="H184" i="4" s="1"/>
  <c r="H185" i="4" a="1"/>
  <c r="H185" i="4" s="1"/>
  <c r="H186" i="4" a="1"/>
  <c r="H186" i="4" s="1"/>
  <c r="H187" i="4" a="1"/>
  <c r="H187" i="4" s="1"/>
  <c r="H188" i="4" a="1"/>
  <c r="H188" i="4" s="1"/>
  <c r="H189" i="4" a="1"/>
  <c r="H189" i="4" s="1"/>
  <c r="H190" i="4" a="1"/>
  <c r="H190" i="4" s="1"/>
  <c r="H191" i="4" a="1"/>
  <c r="H191" i="4" s="1"/>
  <c r="H192" i="4" a="1"/>
  <c r="H192" i="4" s="1"/>
  <c r="H195" i="4" a="1"/>
  <c r="H195" i="4" s="1"/>
  <c r="H193" i="4" a="1"/>
  <c r="H193" i="4" s="1"/>
  <c r="H194" i="4" a="1"/>
  <c r="H194" i="4" s="1"/>
  <c r="H196" i="4" a="1"/>
  <c r="H196" i="4" s="1"/>
  <c r="H197" i="4" a="1"/>
  <c r="H197" i="4" s="1"/>
  <c r="H198" i="4" a="1"/>
  <c r="H198" i="4" s="1"/>
  <c r="H199" i="4" a="1"/>
  <c r="H199" i="4" s="1"/>
  <c r="H200" i="4" a="1"/>
  <c r="H200" i="4" s="1"/>
  <c r="H201" i="4" a="1"/>
  <c r="H201" i="4" s="1"/>
  <c r="H202" i="4" a="1"/>
  <c r="H202" i="4" s="1"/>
  <c r="H203" i="4" a="1"/>
  <c r="H203" i="4" s="1"/>
  <c r="H204" i="4" a="1"/>
  <c r="H204" i="4" s="1"/>
  <c r="H205" i="4" a="1"/>
  <c r="H205" i="4" s="1"/>
  <c r="H206" i="4" a="1"/>
  <c r="H206" i="4" s="1"/>
  <c r="H207" i="4" a="1"/>
  <c r="H207" i="4" s="1"/>
  <c r="H208" i="4" a="1"/>
  <c r="H208" i="4" s="1"/>
  <c r="H209" i="4" a="1"/>
  <c r="H209" i="4" s="1"/>
  <c r="H210" i="4" a="1"/>
  <c r="H210" i="4" s="1"/>
  <c r="H211" i="4" a="1"/>
  <c r="H211" i="4" s="1"/>
  <c r="H212" i="4" a="1"/>
  <c r="H212" i="4" s="1"/>
  <c r="H213" i="4" a="1"/>
  <c r="H213" i="4" s="1"/>
  <c r="H214" i="4" a="1"/>
  <c r="H214" i="4" s="1"/>
  <c r="H215" i="4" a="1"/>
  <c r="H215" i="4" s="1"/>
  <c r="H216" i="4" a="1"/>
  <c r="H216" i="4" s="1"/>
  <c r="H217" i="4" a="1"/>
  <c r="H217" i="4" s="1"/>
  <c r="H218" i="4" a="1"/>
  <c r="H218" i="4" s="1"/>
  <c r="H219" i="4" a="1"/>
  <c r="H219" i="4" s="1"/>
  <c r="H220" i="4" a="1"/>
  <c r="H220" i="4" s="1"/>
  <c r="H222" i="4" a="1"/>
  <c r="H222" i="4" s="1"/>
  <c r="H223" i="4" a="1"/>
  <c r="H223" i="4" s="1"/>
  <c r="H221" i="4" a="1"/>
  <c r="H221" i="4" s="1"/>
  <c r="H225" i="4" a="1"/>
  <c r="H225" i="4" s="1"/>
  <c r="H224" i="4" a="1"/>
  <c r="H224" i="4" s="1"/>
  <c r="H226" i="4" a="1"/>
  <c r="H226" i="4" s="1"/>
  <c r="H227" i="4" a="1"/>
  <c r="H227" i="4" s="1"/>
  <c r="H228" i="4" a="1"/>
  <c r="H228" i="4" s="1"/>
  <c r="H229" i="4" a="1"/>
  <c r="H229" i="4" s="1"/>
  <c r="H230" i="4" a="1"/>
  <c r="H230" i="4" s="1"/>
  <c r="H231" i="4" a="1"/>
  <c r="H231" i="4" s="1"/>
  <c r="H232" i="4" a="1"/>
  <c r="H232" i="4" s="1"/>
  <c r="H233" i="4" a="1"/>
  <c r="H233" i="4" s="1"/>
  <c r="H234" i="4" a="1"/>
  <c r="H234" i="4" s="1"/>
  <c r="H235" i="4" a="1"/>
  <c r="H235" i="4" s="1"/>
  <c r="H236" i="4" a="1"/>
  <c r="H236" i="4" s="1"/>
  <c r="H237" i="4" a="1"/>
  <c r="H237" i="4" s="1"/>
  <c r="H238" i="4" a="1"/>
  <c r="H238" i="4" s="1"/>
  <c r="H239" i="4" a="1"/>
  <c r="H239" i="4" s="1"/>
  <c r="H240" i="4" a="1"/>
  <c r="H240" i="4" s="1"/>
  <c r="H243" i="4" a="1"/>
  <c r="H243" i="4" s="1"/>
  <c r="H241" i="4" a="1"/>
  <c r="H241" i="4" s="1"/>
  <c r="H242" i="4" a="1"/>
  <c r="H242" i="4" s="1"/>
  <c r="H244" i="4" a="1"/>
  <c r="H244" i="4" s="1"/>
  <c r="H245" i="4" a="1"/>
  <c r="H245" i="4" s="1"/>
  <c r="H246" i="4" a="1"/>
  <c r="H246" i="4" s="1"/>
  <c r="H247" i="4" a="1"/>
  <c r="H247" i="4" s="1"/>
  <c r="H248" i="4" a="1"/>
  <c r="H248" i="4" s="1"/>
  <c r="H249" i="4" a="1"/>
  <c r="H249" i="4" s="1"/>
  <c r="H250" i="4" a="1"/>
  <c r="H250" i="4" s="1"/>
  <c r="H251" i="4" a="1"/>
  <c r="H251" i="4" s="1"/>
  <c r="H252" i="4" a="1"/>
  <c r="H252" i="4" s="1"/>
  <c r="H254" i="4" a="1"/>
  <c r="H254" i="4" s="1"/>
  <c r="H253" i="4" a="1"/>
  <c r="H253" i="4" s="1"/>
  <c r="H255" i="4" a="1"/>
  <c r="H255" i="4" s="1"/>
  <c r="H256" i="4" a="1"/>
  <c r="H256" i="4" s="1"/>
  <c r="H258" i="4" a="1"/>
  <c r="H258" i="4" s="1"/>
  <c r="H257" i="4" a="1"/>
  <c r="H257" i="4" s="1"/>
  <c r="H259" i="4" a="1"/>
  <c r="H259" i="4" s="1"/>
  <c r="H260" i="4" a="1"/>
  <c r="H260" i="4" s="1"/>
  <c r="H261" i="4" a="1"/>
  <c r="H261" i="4" s="1"/>
  <c r="H262" i="4" a="1"/>
  <c r="H262" i="4" s="1"/>
  <c r="H263" i="4" a="1"/>
  <c r="H263" i="4" s="1"/>
  <c r="H264" i="4" a="1"/>
  <c r="H264" i="4" s="1"/>
  <c r="H265" i="4" a="1"/>
  <c r="H265" i="4" s="1"/>
  <c r="H266" i="4" a="1"/>
  <c r="H266" i="4" s="1"/>
  <c r="H267" i="4" a="1"/>
  <c r="H267" i="4" s="1"/>
  <c r="H268" i="4" a="1"/>
  <c r="H268" i="4" s="1"/>
  <c r="H269" i="4" a="1"/>
  <c r="H269" i="4" s="1"/>
  <c r="H270" i="4" a="1"/>
  <c r="H270" i="4" s="1"/>
  <c r="H271" i="4" a="1"/>
  <c r="H271" i="4" s="1"/>
  <c r="H272" i="4" a="1"/>
  <c r="H272" i="4" s="1"/>
  <c r="H273" i="4" a="1"/>
  <c r="H273" i="4" s="1"/>
  <c r="H274" i="4" a="1"/>
  <c r="H274" i="4" s="1"/>
  <c r="H275" i="4" a="1"/>
  <c r="H275" i="4" s="1"/>
  <c r="H277" i="4" a="1"/>
  <c r="H277" i="4" s="1"/>
  <c r="H276" i="4" a="1"/>
  <c r="H276" i="4" s="1"/>
  <c r="H278" i="4" a="1"/>
  <c r="H278" i="4" s="1"/>
  <c r="H279" i="4" a="1"/>
  <c r="H279" i="4" s="1"/>
  <c r="H280" i="4" a="1"/>
  <c r="H280" i="4" s="1"/>
  <c r="H282" i="4" a="1"/>
  <c r="H282" i="4" s="1"/>
  <c r="H281" i="4" a="1"/>
  <c r="H281" i="4" s="1"/>
  <c r="H283" i="4" a="1"/>
  <c r="H283" i="4" s="1"/>
  <c r="H284" i="4" a="1"/>
  <c r="H284" i="4" s="1"/>
  <c r="H285" i="4" a="1"/>
  <c r="H285" i="4" s="1"/>
  <c r="H286" i="4" a="1"/>
  <c r="H286" i="4" s="1"/>
  <c r="H287" i="4" a="1"/>
  <c r="H287" i="4" s="1"/>
  <c r="H290" i="4" a="1"/>
  <c r="H290" i="4" s="1"/>
  <c r="H288" i="4" a="1"/>
  <c r="H288" i="4" s="1"/>
  <c r="H289" i="4" a="1"/>
  <c r="H289" i="4" s="1"/>
  <c r="H291" i="4" a="1"/>
  <c r="H291" i="4" s="1"/>
  <c r="H292" i="4" a="1"/>
  <c r="H292" i="4" s="1"/>
  <c r="H293" i="4" a="1"/>
  <c r="H293" i="4" s="1"/>
  <c r="H294" i="4" a="1"/>
  <c r="H294" i="4" s="1"/>
  <c r="H295" i="4" a="1"/>
  <c r="H295" i="4" s="1"/>
  <c r="H296" i="4" a="1"/>
  <c r="H296" i="4" s="1"/>
  <c r="H297" i="4" a="1"/>
  <c r="H297" i="4" s="1"/>
  <c r="H298" i="4" a="1"/>
  <c r="H298" i="4" s="1"/>
  <c r="H299" i="4" a="1"/>
  <c r="H299" i="4" s="1"/>
  <c r="H300" i="4" a="1"/>
  <c r="H300" i="4" s="1"/>
  <c r="H301" i="4" a="1"/>
  <c r="H301" i="4" s="1"/>
  <c r="H302" i="4" a="1"/>
  <c r="H302" i="4" s="1"/>
  <c r="H303" i="4" a="1"/>
  <c r="H303" i="4" s="1"/>
  <c r="H304" i="4" a="1"/>
  <c r="H304" i="4" s="1"/>
  <c r="A304" i="4" s="1"/>
  <c r="H305" i="4" a="1"/>
  <c r="H305" i="4" s="1"/>
  <c r="H306" i="4" a="1"/>
  <c r="H306" i="4"/>
  <c r="H307" i="4" a="1"/>
  <c r="H307" i="4" s="1"/>
  <c r="H308" i="4" a="1"/>
  <c r="H308" i="4" s="1"/>
  <c r="H309" i="4" a="1"/>
  <c r="H309" i="4" s="1"/>
  <c r="H310" i="4" a="1"/>
  <c r="H310" i="4" s="1"/>
  <c r="H311" i="4" a="1"/>
  <c r="H311" i="4" s="1"/>
  <c r="H314" i="4" a="1"/>
  <c r="H314" i="4" s="1"/>
  <c r="H312" i="4" a="1"/>
  <c r="H312" i="4" s="1"/>
  <c r="H313" i="4" a="1"/>
  <c r="H313" i="4" s="1"/>
  <c r="H315" i="4" a="1"/>
  <c r="H315" i="4" s="1"/>
  <c r="H316" i="4" a="1"/>
  <c r="H316" i="4" s="1"/>
  <c r="H317" i="4" a="1"/>
  <c r="H317" i="4" s="1"/>
  <c r="H318" i="4" a="1"/>
  <c r="H318" i="4" s="1"/>
  <c r="H319" i="4" a="1"/>
  <c r="H319" i="4" s="1"/>
  <c r="H320" i="4" a="1"/>
  <c r="H320" i="4" s="1"/>
  <c r="H321" i="4" a="1"/>
  <c r="H321" i="4" s="1"/>
  <c r="H322" i="4" a="1"/>
  <c r="H322" i="4" s="1"/>
  <c r="H323" i="4" a="1"/>
  <c r="H323" i="4" s="1"/>
  <c r="H324" i="4" a="1"/>
  <c r="H324" i="4" s="1"/>
  <c r="H325" i="4" a="1"/>
  <c r="H325" i="4" s="1"/>
  <c r="H326" i="4" a="1"/>
  <c r="H326" i="4" s="1"/>
  <c r="H327" i="4" a="1"/>
  <c r="H327" i="4" s="1"/>
  <c r="H328" i="4" a="1"/>
  <c r="H328" i="4" s="1"/>
  <c r="H329" i="4" a="1"/>
  <c r="H329" i="4" s="1"/>
  <c r="H330" i="4" a="1"/>
  <c r="H330" i="4" s="1"/>
  <c r="H331" i="4" a="1"/>
  <c r="H331" i="4" s="1"/>
  <c r="H332" i="4" a="1"/>
  <c r="H332" i="4" s="1"/>
  <c r="H333" i="4" a="1"/>
  <c r="H333" i="4" s="1"/>
  <c r="H334" i="4" a="1"/>
  <c r="H334" i="4" s="1"/>
  <c r="H335" i="4" a="1"/>
  <c r="H335" i="4" s="1"/>
  <c r="H336" i="4" a="1"/>
  <c r="H336" i="4" s="1"/>
  <c r="H337" i="4" a="1"/>
  <c r="H337" i="4" s="1"/>
  <c r="H338" i="4" a="1"/>
  <c r="H338" i="4" s="1"/>
  <c r="H339" i="4" a="1"/>
  <c r="H339" i="4" s="1"/>
  <c r="H340" i="4" a="1"/>
  <c r="H340" i="4" s="1"/>
  <c r="H341" i="4" a="1"/>
  <c r="H341" i="4" s="1"/>
  <c r="H342" i="4" a="1"/>
  <c r="H342" i="4" s="1"/>
  <c r="H343" i="4" a="1"/>
  <c r="H343" i="4" s="1"/>
  <c r="H344" i="4" a="1"/>
  <c r="H344" i="4" s="1"/>
  <c r="H345" i="4" a="1"/>
  <c r="H345" i="4" s="1"/>
  <c r="H346" i="4" a="1"/>
  <c r="H346" i="4" s="1"/>
  <c r="H347" i="4" a="1"/>
  <c r="H347" i="4" s="1"/>
  <c r="H348" i="4" a="1"/>
  <c r="H348" i="4" s="1"/>
  <c r="H349" i="4" a="1"/>
  <c r="H349" i="4" s="1"/>
  <c r="H137" i="4" a="1"/>
  <c r="H137" i="4" s="1"/>
  <c r="I136" i="4" a="1"/>
  <c r="I136" i="4" s="1"/>
  <c r="I2" i="4" a="1"/>
  <c r="I2" i="4" s="1"/>
  <c r="I4" i="4" a="1"/>
  <c r="I4" i="4" s="1"/>
  <c r="I3" i="4" a="1"/>
  <c r="I3" i="4" s="1"/>
  <c r="I123" i="4" a="1"/>
  <c r="I123" i="4" s="1"/>
  <c r="I124" i="4" a="1"/>
  <c r="I124" i="4" s="1"/>
  <c r="I122" i="4" a="1"/>
  <c r="I122" i="4" s="1"/>
  <c r="I126" i="4" a="1"/>
  <c r="I126" i="4" s="1"/>
  <c r="I125" i="4" a="1"/>
  <c r="I125" i="4" s="1"/>
  <c r="I127" i="4" a="1"/>
  <c r="I127" i="4" s="1"/>
  <c r="I128" i="4" a="1"/>
  <c r="I128" i="4" s="1"/>
  <c r="I129" i="4" a="1"/>
  <c r="I129" i="4" s="1"/>
  <c r="I121" i="4" a="1"/>
  <c r="I121" i="4" s="1"/>
  <c r="I183" i="4" a="1"/>
  <c r="I183" i="4" s="1"/>
  <c r="I137" i="4" a="1"/>
  <c r="I137" i="4" s="1"/>
  <c r="I138" i="4" a="1"/>
  <c r="I138" i="4" s="1"/>
  <c r="I139" i="4" a="1"/>
  <c r="I139" i="4" s="1"/>
  <c r="A139" i="4" s="1"/>
  <c r="I140" i="4" a="1"/>
  <c r="I140" i="4" s="1"/>
  <c r="I141" i="4" a="1"/>
  <c r="I141" i="4" s="1"/>
  <c r="I142" i="4" a="1"/>
  <c r="I142" i="4" s="1"/>
  <c r="I143" i="4" a="1"/>
  <c r="I143" i="4" s="1"/>
  <c r="I146" i="4" a="1"/>
  <c r="I146" i="4" s="1"/>
  <c r="I147" i="4" a="1"/>
  <c r="I147" i="4" s="1"/>
  <c r="I148" i="4" a="1"/>
  <c r="I148" i="4" s="1"/>
  <c r="I149" i="4" a="1"/>
  <c r="I149" i="4" s="1"/>
  <c r="I151" i="4" a="1"/>
  <c r="I151" i="4" s="1"/>
  <c r="I145" i="4" a="1"/>
  <c r="I145" i="4" s="1"/>
  <c r="I165" i="4" a="1"/>
  <c r="I165" i="4" s="1"/>
  <c r="I166" i="4" a="1"/>
  <c r="I166" i="4" s="1"/>
  <c r="I167" i="4" a="1"/>
  <c r="I167" i="4" s="1"/>
  <c r="I168" i="4" a="1"/>
  <c r="I168" i="4" s="1"/>
  <c r="I152" i="4" a="1"/>
  <c r="I152" i="4" s="1"/>
  <c r="I153" i="4" a="1"/>
  <c r="I153" i="4" s="1"/>
  <c r="I154" i="4" a="1"/>
  <c r="I154" i="4" s="1"/>
  <c r="I155" i="4" a="1"/>
  <c r="I155" i="4" s="1"/>
  <c r="I156" i="4" a="1"/>
  <c r="I156" i="4" s="1"/>
  <c r="I157" i="4" a="1"/>
  <c r="I157" i="4" s="1"/>
  <c r="I158" i="4" a="1"/>
  <c r="I158" i="4" s="1"/>
  <c r="I159" i="4" a="1"/>
  <c r="I159" i="4" s="1"/>
  <c r="I160" i="4" a="1"/>
  <c r="I160" i="4" s="1"/>
  <c r="I161" i="4" a="1"/>
  <c r="I161" i="4" s="1"/>
  <c r="I162" i="4" a="1"/>
  <c r="I162" i="4" s="1"/>
  <c r="I172" i="4" a="1"/>
  <c r="I172" i="4" s="1"/>
  <c r="I150" i="4" a="1"/>
  <c r="I150" i="4" s="1"/>
  <c r="I176" i="4" a="1"/>
  <c r="I176" i="4" s="1"/>
  <c r="I169" i="4" a="1"/>
  <c r="I169" i="4" s="1"/>
  <c r="I170" i="4" a="1"/>
  <c r="I170" i="4" s="1"/>
  <c r="I171" i="4" a="1"/>
  <c r="I171" i="4" s="1"/>
  <c r="I163" i="4" a="1"/>
  <c r="I163" i="4" s="1"/>
  <c r="I164" i="4" a="1"/>
  <c r="I164" i="4" s="1"/>
  <c r="I177" i="4" a="1"/>
  <c r="I177" i="4" s="1"/>
  <c r="I174" i="4" a="1"/>
  <c r="I174" i="4" s="1"/>
  <c r="I175" i="4" a="1"/>
  <c r="I175" i="4" s="1"/>
  <c r="I173" i="4" a="1"/>
  <c r="I173" i="4" s="1"/>
  <c r="I184" i="4" a="1"/>
  <c r="I184" i="4" s="1"/>
  <c r="I179" i="4" a="1"/>
  <c r="I179" i="4" s="1"/>
  <c r="I181" i="4" a="1"/>
  <c r="I181" i="4" s="1"/>
  <c r="I182" i="4" a="1"/>
  <c r="I182" i="4" s="1"/>
  <c r="I180" i="4" a="1"/>
  <c r="I180" i="4" s="1"/>
  <c r="I178" i="4" a="1"/>
  <c r="I178" i="4" s="1"/>
  <c r="I185" i="4" a="1"/>
  <c r="I185" i="4" s="1"/>
  <c r="I186" i="4" a="1"/>
  <c r="I186" i="4" s="1"/>
  <c r="I187" i="4" a="1"/>
  <c r="I187" i="4" s="1"/>
  <c r="I188" i="4" a="1"/>
  <c r="I188" i="4" s="1"/>
  <c r="I189" i="4" a="1"/>
  <c r="I189" i="4" s="1"/>
  <c r="I190" i="4" a="1"/>
  <c r="I190" i="4" s="1"/>
  <c r="I191" i="4" a="1"/>
  <c r="I191" i="4" s="1"/>
  <c r="I192" i="4" a="1"/>
  <c r="I192" i="4" s="1"/>
  <c r="I197" i="4" a="1"/>
  <c r="I197" i="4" s="1"/>
  <c r="I195" i="4" a="1"/>
  <c r="I195" i="4" s="1"/>
  <c r="I193" i="4" a="1"/>
  <c r="I193" i="4" s="1"/>
  <c r="I194" i="4" a="1"/>
  <c r="I194" i="4" s="1"/>
  <c r="I196" i="4" a="1"/>
  <c r="I196" i="4" s="1"/>
  <c r="I198" i="4" a="1"/>
  <c r="I198" i="4" s="1"/>
  <c r="I199" i="4" a="1"/>
  <c r="I199" i="4" s="1"/>
  <c r="I200" i="4" a="1"/>
  <c r="I200" i="4" s="1"/>
  <c r="I201" i="4" a="1"/>
  <c r="I201" i="4" s="1"/>
  <c r="I202" i="4" a="1"/>
  <c r="I202" i="4" s="1"/>
  <c r="I227" i="4" a="1"/>
  <c r="I227" i="4" s="1"/>
  <c r="I228" i="4" a="1"/>
  <c r="I228" i="4" s="1"/>
  <c r="I203" i="4" a="1"/>
  <c r="I203" i="4" s="1"/>
  <c r="I204" i="4" a="1"/>
  <c r="I204" i="4" s="1"/>
  <c r="I205" i="4" a="1"/>
  <c r="I205" i="4" s="1"/>
  <c r="I206" i="4" a="1"/>
  <c r="I206" i="4" s="1"/>
  <c r="I207" i="4" a="1"/>
  <c r="I207" i="4" s="1"/>
  <c r="I208" i="4" a="1"/>
  <c r="I208" i="4" s="1"/>
  <c r="I209" i="4" a="1"/>
  <c r="I209" i="4" s="1"/>
  <c r="I210" i="4" a="1"/>
  <c r="I210" i="4" s="1"/>
  <c r="I211" i="4" a="1"/>
  <c r="I211" i="4" s="1"/>
  <c r="I212" i="4" a="1"/>
  <c r="I212" i="4" s="1"/>
  <c r="I213" i="4" a="1"/>
  <c r="I213" i="4" s="1"/>
  <c r="I214" i="4" a="1"/>
  <c r="I214" i="4" s="1"/>
  <c r="I215" i="4" a="1"/>
  <c r="I215" i="4" s="1"/>
  <c r="I216" i="4" a="1"/>
  <c r="I216" i="4" s="1"/>
  <c r="I225" i="4" a="1"/>
  <c r="I225" i="4" s="1"/>
  <c r="I224" i="4" a="1"/>
  <c r="I224" i="4" s="1"/>
  <c r="I217" i="4" a="1"/>
  <c r="I217" i="4" s="1"/>
  <c r="I218" i="4" a="1"/>
  <c r="I218" i="4" s="1"/>
  <c r="I219" i="4" a="1"/>
  <c r="I219" i="4" s="1"/>
  <c r="I220" i="4" a="1"/>
  <c r="I220" i="4" s="1"/>
  <c r="I222" i="4" a="1"/>
  <c r="I222" i="4" s="1"/>
  <c r="I223" i="4" a="1"/>
  <c r="I223" i="4" s="1"/>
  <c r="I221" i="4" a="1"/>
  <c r="I221" i="4" s="1"/>
  <c r="I226" i="4" a="1"/>
  <c r="I226" i="4" s="1"/>
  <c r="I246" i="4" a="1"/>
  <c r="I246" i="4" s="1"/>
  <c r="I247" i="4" a="1"/>
  <c r="I247" i="4" s="1"/>
  <c r="I248" i="4" a="1"/>
  <c r="I248" i="4" s="1"/>
  <c r="I230" i="4" a="1"/>
  <c r="I230" i="4" s="1"/>
  <c r="I231" i="4" a="1"/>
  <c r="I231" i="4" s="1"/>
  <c r="I232" i="4" a="1"/>
  <c r="I232" i="4" s="1"/>
  <c r="I233" i="4" a="1"/>
  <c r="I233" i="4" s="1"/>
  <c r="I234" i="4" a="1"/>
  <c r="I234" i="4" s="1"/>
  <c r="I235" i="4" a="1"/>
  <c r="I235" i="4" s="1"/>
  <c r="I236" i="4" a="1"/>
  <c r="I236" i="4" s="1"/>
  <c r="I237" i="4" a="1"/>
  <c r="I237" i="4" s="1"/>
  <c r="I238" i="4" a="1"/>
  <c r="I238" i="4" s="1"/>
  <c r="I239" i="4" a="1"/>
  <c r="I239" i="4" s="1"/>
  <c r="I240" i="4" a="1"/>
  <c r="I240" i="4" s="1"/>
  <c r="I243" i="4" a="1"/>
  <c r="I243" i="4" s="1"/>
  <c r="I241" i="4" a="1"/>
  <c r="I241" i="4" s="1"/>
  <c r="I242" i="4" a="1"/>
  <c r="I242" i="4" s="1"/>
  <c r="I229" i="4" a="1"/>
  <c r="I229" i="4" s="1"/>
  <c r="I244" i="4" a="1"/>
  <c r="I244" i="4" s="1"/>
  <c r="I252" i="4" a="1"/>
  <c r="I252" i="4" s="1"/>
  <c r="I254" i="4" a="1"/>
  <c r="I254" i="4" s="1"/>
  <c r="I253" i="4" a="1"/>
  <c r="I253" i="4" s="1"/>
  <c r="I255" i="4" a="1"/>
  <c r="I255" i="4" s="1"/>
  <c r="I256" i="4" a="1"/>
  <c r="I256" i="4" s="1"/>
  <c r="I245" i="4" a="1"/>
  <c r="I245" i="4" s="1"/>
  <c r="I249" i="4" a="1"/>
  <c r="I249" i="4" s="1"/>
  <c r="I250" i="4" a="1"/>
  <c r="I250" i="4" s="1"/>
  <c r="I251" i="4" a="1"/>
  <c r="I251" i="4" s="1"/>
  <c r="I258" i="4" a="1"/>
  <c r="I258" i="4" s="1"/>
  <c r="I257" i="4" a="1"/>
  <c r="I257" i="4" s="1"/>
  <c r="I259" i="4" a="1"/>
  <c r="I259" i="4" s="1"/>
  <c r="I260" i="4" a="1"/>
  <c r="I260" i="4" s="1"/>
  <c r="I261" i="4" a="1"/>
  <c r="I261" i="4" s="1"/>
  <c r="I262" i="4" a="1"/>
  <c r="I262" i="4" s="1"/>
  <c r="I263" i="4" a="1"/>
  <c r="I263" i="4" s="1"/>
  <c r="I264" i="4" a="1"/>
  <c r="I264" i="4" s="1"/>
  <c r="I265" i="4" a="1"/>
  <c r="I265" i="4" s="1"/>
  <c r="I269" i="4" a="1"/>
  <c r="I269" i="4" s="1"/>
  <c r="I270" i="4" a="1"/>
  <c r="I270" i="4" s="1"/>
  <c r="I271" i="4" a="1"/>
  <c r="I271" i="4" s="1"/>
  <c r="I272" i="4" a="1"/>
  <c r="I272" i="4" s="1"/>
  <c r="I273" i="4" a="1"/>
  <c r="I273" i="4" s="1"/>
  <c r="I266" i="4" a="1"/>
  <c r="I266" i="4" s="1"/>
  <c r="I267" i="4" a="1"/>
  <c r="I267" i="4" s="1"/>
  <c r="I268" i="4" a="1"/>
  <c r="I268" i="4" s="1"/>
  <c r="I278" i="4" a="1"/>
  <c r="I278" i="4" s="1"/>
  <c r="I274" i="4" a="1"/>
  <c r="I274" i="4" s="1"/>
  <c r="I275" i="4" a="1"/>
  <c r="I275" i="4" s="1"/>
  <c r="I277" i="4" a="1"/>
  <c r="I277" i="4" s="1"/>
  <c r="I276" i="4" a="1"/>
  <c r="I276" i="4" s="1"/>
  <c r="I286" i="4" a="1"/>
  <c r="I286" i="4" s="1"/>
  <c r="I287" i="4" a="1"/>
  <c r="I287" i="4" s="1"/>
  <c r="I290" i="4" a="1"/>
  <c r="I290" i="4" s="1"/>
  <c r="I288" i="4" a="1"/>
  <c r="I288" i="4" s="1"/>
  <c r="I289" i="4" a="1"/>
  <c r="I289" i="4" s="1"/>
  <c r="I282" i="4" a="1"/>
  <c r="I282" i="4" s="1"/>
  <c r="I281" i="4" a="1"/>
  <c r="I281" i="4" s="1"/>
  <c r="I283" i="4" a="1"/>
  <c r="I283" i="4" s="1"/>
  <c r="I284" i="4" a="1"/>
  <c r="I284" i="4" s="1"/>
  <c r="I285" i="4" a="1"/>
  <c r="I285" i="4" s="1"/>
  <c r="I279" i="4" a="1"/>
  <c r="I279" i="4" s="1"/>
  <c r="I280" i="4" a="1"/>
  <c r="I280" i="4" s="1"/>
  <c r="I304" i="4" a="1"/>
  <c r="I304" i="4" s="1"/>
  <c r="I305" i="4" a="1"/>
  <c r="I305" i="4" s="1"/>
  <c r="I291" i="4" a="1"/>
  <c r="I291" i="4" s="1"/>
  <c r="I292" i="4" a="1"/>
  <c r="I292" i="4" s="1"/>
  <c r="I293" i="4" a="1"/>
  <c r="I293" i="4" s="1"/>
  <c r="I294" i="4" a="1"/>
  <c r="I294" i="4" s="1"/>
  <c r="I295" i="4" a="1"/>
  <c r="I295" i="4" s="1"/>
  <c r="I296" i="4" a="1"/>
  <c r="I296" i="4" s="1"/>
  <c r="I297" i="4" a="1"/>
  <c r="I297" i="4" s="1"/>
  <c r="I298" i="4" a="1"/>
  <c r="I298" i="4" s="1"/>
  <c r="I299" i="4" a="1"/>
  <c r="I299" i="4" s="1"/>
  <c r="I302" i="4" a="1"/>
  <c r="I302" i="4" s="1"/>
  <c r="I307" i="4" a="1"/>
  <c r="I307" i="4" s="1"/>
  <c r="I308" i="4" a="1"/>
  <c r="I308" i="4" s="1"/>
  <c r="I303" i="4" a="1"/>
  <c r="I303" i="4" s="1"/>
  <c r="I314" i="4" a="1"/>
  <c r="I314" i="4" s="1"/>
  <c r="I312" i="4" a="1"/>
  <c r="I312" i="4" s="1"/>
  <c r="I313" i="4" a="1"/>
  <c r="I313" i="4" s="1"/>
  <c r="I315" i="4" a="1"/>
  <c r="I315" i="4" s="1"/>
  <c r="I306" i="4" a="1"/>
  <c r="I306" i="4" s="1"/>
  <c r="I310" i="4" a="1"/>
  <c r="I310" i="4" s="1"/>
  <c r="I311" i="4" a="1"/>
  <c r="I311" i="4" s="1"/>
  <c r="I300" i="4" a="1"/>
  <c r="I300" i="4" s="1"/>
  <c r="I301" i="4" a="1"/>
  <c r="I301" i="4" s="1"/>
  <c r="I309" i="4" a="1"/>
  <c r="I309" i="4" s="1"/>
  <c r="I316" i="4" a="1"/>
  <c r="I316" i="4" s="1"/>
  <c r="I323" i="4" a="1"/>
  <c r="I323" i="4" s="1"/>
  <c r="I317" i="4" a="1"/>
  <c r="I317" i="4" s="1"/>
  <c r="I318" i="4" a="1"/>
  <c r="I318" i="4" s="1"/>
  <c r="I319" i="4" a="1"/>
  <c r="I319" i="4" s="1"/>
  <c r="I320" i="4" a="1"/>
  <c r="I320" i="4" s="1"/>
  <c r="I321" i="4" a="1"/>
  <c r="I321" i="4" s="1"/>
  <c r="I322" i="4" a="1"/>
  <c r="I322" i="4" s="1"/>
  <c r="I324" i="4" a="1"/>
  <c r="I324" i="4" s="1"/>
  <c r="I327" i="4" a="1"/>
  <c r="I327" i="4" s="1"/>
  <c r="I328" i="4" a="1"/>
  <c r="I328" i="4" s="1"/>
  <c r="I329" i="4" a="1"/>
  <c r="I329" i="4" s="1"/>
  <c r="I330" i="4" a="1"/>
  <c r="I330" i="4" s="1"/>
  <c r="I325" i="4" a="1"/>
  <c r="I325" i="4" s="1"/>
  <c r="I326" i="4" a="1"/>
  <c r="I326" i="4" s="1"/>
  <c r="I331" i="4" a="1"/>
  <c r="I331" i="4" s="1"/>
  <c r="I332" i="4" a="1"/>
  <c r="I332" i="4" s="1"/>
  <c r="I333" i="4" a="1"/>
  <c r="I333" i="4" s="1"/>
  <c r="I335" i="4" a="1"/>
  <c r="I335" i="4" s="1"/>
  <c r="I334" i="4" a="1"/>
  <c r="I334" i="4" s="1"/>
  <c r="I337" i="4" a="1"/>
  <c r="I337" i="4" s="1"/>
  <c r="I338" i="4" a="1"/>
  <c r="I338" i="4" s="1"/>
  <c r="I340" i="4" a="1"/>
  <c r="I340" i="4" s="1"/>
  <c r="I336" i="4" a="1"/>
  <c r="I336" i="4" s="1"/>
  <c r="I339" i="4" a="1"/>
  <c r="I339" i="4" s="1"/>
  <c r="I341" i="4" a="1"/>
  <c r="I341" i="4" s="1"/>
  <c r="I344" i="4" a="1"/>
  <c r="I344" i="4" s="1"/>
  <c r="I343" i="4" a="1"/>
  <c r="I343" i="4" s="1"/>
  <c r="I347" i="4" a="1"/>
  <c r="I347" i="4" s="1"/>
  <c r="I348" i="4" a="1"/>
  <c r="I348" i="4" s="1"/>
  <c r="I342" i="4" a="1"/>
  <c r="I342" i="4" s="1"/>
  <c r="I345" i="4" a="1"/>
  <c r="I345" i="4" s="1"/>
  <c r="I349" i="4" a="1"/>
  <c r="I349" i="4" s="1"/>
  <c r="I346" i="4" a="1"/>
  <c r="I346" i="4" s="1"/>
  <c r="I144" i="4" a="1"/>
  <c r="I144" i="4" s="1"/>
  <c r="A295" i="4" l="1"/>
  <c r="A235" i="4"/>
  <c r="A29" i="4"/>
  <c r="A264" i="4"/>
  <c r="A114" i="4"/>
  <c r="A65" i="4"/>
  <c r="A98" i="4"/>
  <c r="A290" i="4"/>
  <c r="A8" i="4"/>
  <c r="A89" i="4"/>
  <c r="A59" i="4"/>
  <c r="A104" i="4"/>
  <c r="A330" i="4"/>
  <c r="A87" i="4"/>
  <c r="A108" i="4"/>
  <c r="A329" i="4"/>
  <c r="A310" i="4"/>
  <c r="A196" i="4"/>
  <c r="A16" i="4"/>
  <c r="A58" i="4"/>
  <c r="A90" i="4"/>
  <c r="A95" i="4"/>
  <c r="A43" i="4"/>
  <c r="A341" i="4"/>
  <c r="A244" i="4"/>
  <c r="A205" i="4"/>
  <c r="A60" i="4"/>
  <c r="A109" i="4"/>
  <c r="A116" i="4"/>
  <c r="A74" i="4"/>
  <c r="A269" i="4"/>
  <c r="A93" i="4"/>
  <c r="A111" i="4"/>
  <c r="A320" i="4"/>
  <c r="A337" i="4"/>
  <c r="A152" i="4"/>
  <c r="A110" i="4"/>
  <c r="A210" i="4"/>
  <c r="A181" i="4"/>
  <c r="A171" i="4"/>
  <c r="A143" i="4"/>
  <c r="A76" i="4"/>
  <c r="A75" i="4"/>
  <c r="A275" i="4"/>
  <c r="A12" i="4"/>
  <c r="A22" i="4"/>
  <c r="A97" i="4"/>
  <c r="A101" i="4"/>
  <c r="A256" i="4"/>
  <c r="A31" i="4"/>
  <c r="A53" i="4"/>
  <c r="A85" i="4"/>
  <c r="A96" i="4"/>
  <c r="A255" i="4"/>
  <c r="A72" i="4"/>
  <c r="A82" i="4"/>
  <c r="A88" i="4"/>
  <c r="A41" i="4"/>
  <c r="A246" i="4"/>
  <c r="A199" i="4"/>
  <c r="A217" i="4"/>
  <c r="A25" i="4"/>
  <c r="A49" i="4"/>
  <c r="A42" i="4"/>
  <c r="A77" i="4"/>
  <c r="A106" i="4"/>
  <c r="A24" i="4"/>
  <c r="A48" i="4"/>
  <c r="A113" i="4"/>
  <c r="A118" i="4"/>
  <c r="A170" i="4"/>
  <c r="A44" i="4"/>
  <c r="A83" i="4"/>
  <c r="A318" i="4"/>
  <c r="A285" i="4"/>
  <c r="A221" i="4"/>
  <c r="A204" i="4"/>
  <c r="A184" i="4"/>
  <c r="A158" i="4"/>
  <c r="A3" i="4"/>
  <c r="A27" i="4"/>
  <c r="A67" i="4"/>
  <c r="A64" i="4"/>
  <c r="A117" i="4"/>
  <c r="A276" i="4"/>
  <c r="A169" i="4"/>
  <c r="A121" i="4"/>
  <c r="A344" i="4"/>
  <c r="A335" i="4"/>
  <c r="A195" i="4"/>
  <c r="A52" i="4"/>
  <c r="A81" i="4"/>
  <c r="A102" i="4"/>
  <c r="A112" i="4"/>
  <c r="A316" i="4"/>
  <c r="A308" i="4"/>
  <c r="A299" i="4"/>
  <c r="A283" i="4"/>
  <c r="A239" i="4"/>
  <c r="A124" i="4"/>
  <c r="A28" i="4"/>
  <c r="A46" i="4"/>
  <c r="A66" i="4"/>
  <c r="A80" i="4"/>
  <c r="A151" i="4"/>
  <c r="A325" i="4"/>
  <c r="A266" i="4"/>
  <c r="A258" i="4"/>
  <c r="A248" i="4"/>
  <c r="A201" i="4"/>
  <c r="A191" i="4"/>
  <c r="A165" i="4"/>
  <c r="A32" i="4"/>
  <c r="A84" i="4"/>
  <c r="A107" i="4"/>
  <c r="A119" i="4"/>
  <c r="A86" i="4"/>
  <c r="A13" i="4"/>
  <c r="A167" i="4"/>
  <c r="A338" i="4"/>
  <c r="A323" i="4"/>
  <c r="A284" i="4"/>
  <c r="A277" i="4"/>
  <c r="A245" i="4"/>
  <c r="A236" i="4"/>
  <c r="A200" i="4"/>
  <c r="A173" i="4"/>
  <c r="A166" i="4"/>
  <c r="A157" i="4"/>
  <c r="A142" i="4"/>
  <c r="A131" i="4"/>
  <c r="A15" i="4"/>
  <c r="A21" i="4"/>
  <c r="A69" i="4"/>
  <c r="A105" i="4"/>
  <c r="A313" i="4"/>
  <c r="A226" i="4"/>
  <c r="A345" i="4"/>
  <c r="A336" i="4"/>
  <c r="A289" i="4"/>
  <c r="A234" i="4"/>
  <c r="A224" i="4"/>
  <c r="A216" i="4"/>
  <c r="A207" i="4"/>
  <c r="A198" i="4"/>
  <c r="A189" i="4"/>
  <c r="A123" i="4"/>
  <c r="A34" i="4"/>
  <c r="A14" i="4"/>
  <c r="A47" i="4"/>
  <c r="A56" i="4"/>
  <c r="A45" i="4"/>
  <c r="A339" i="4"/>
  <c r="A291" i="4"/>
  <c r="A260" i="4"/>
  <c r="A208" i="4"/>
  <c r="A141" i="4"/>
  <c r="A305" i="4"/>
  <c r="A297" i="4"/>
  <c r="A288" i="4"/>
  <c r="A274" i="4"/>
  <c r="A257" i="4"/>
  <c r="A215" i="4"/>
  <c r="A206" i="4"/>
  <c r="A188" i="4"/>
  <c r="A155" i="4"/>
  <c r="A147" i="4"/>
  <c r="A9" i="4"/>
  <c r="A20" i="4"/>
  <c r="A30" i="4"/>
  <c r="A55" i="4"/>
  <c r="A94" i="4"/>
  <c r="A222" i="4"/>
  <c r="A233" i="4"/>
  <c r="A40" i="4"/>
  <c r="A296" i="4"/>
  <c r="A162" i="4"/>
  <c r="A99" i="4"/>
  <c r="A319" i="4"/>
  <c r="A311" i="4"/>
  <c r="A213" i="4"/>
  <c r="A186" i="4"/>
  <c r="A35" i="4"/>
  <c r="A50" i="4"/>
  <c r="A39" i="4"/>
  <c r="A73" i="4"/>
  <c r="A61" i="4"/>
  <c r="A68" i="4"/>
  <c r="A11" i="4"/>
  <c r="A37" i="4"/>
  <c r="A137" i="4"/>
  <c r="A317" i="4"/>
  <c r="A17" i="4"/>
  <c r="A23" i="4"/>
  <c r="A36" i="4"/>
  <c r="A57" i="4"/>
  <c r="A103" i="4"/>
  <c r="A145" i="4"/>
  <c r="A271" i="4"/>
  <c r="A263" i="4"/>
  <c r="A230" i="4"/>
  <c r="A134" i="4"/>
  <c r="A125" i="4"/>
  <c r="A349" i="4"/>
  <c r="A331" i="4"/>
  <c r="A294" i="4"/>
  <c r="A270" i="4"/>
  <c r="A229" i="4"/>
  <c r="A183" i="4"/>
  <c r="A159" i="4"/>
  <c r="A133" i="4"/>
  <c r="A5" i="4"/>
  <c r="A26" i="4"/>
  <c r="A54" i="4"/>
  <c r="A78" i="4"/>
  <c r="A92" i="4"/>
  <c r="A63" i="4"/>
  <c r="A33" i="4"/>
  <c r="A79" i="4"/>
  <c r="A232" i="4"/>
  <c r="A347" i="4"/>
  <c r="A340" i="4"/>
  <c r="A333" i="4"/>
  <c r="A326" i="4"/>
  <c r="A306" i="4"/>
  <c r="A293" i="4"/>
  <c r="A259" i="4"/>
  <c r="A187" i="4"/>
  <c r="A150" i="4"/>
  <c r="A148" i="4"/>
  <c r="A346" i="4"/>
  <c r="A332" i="4"/>
  <c r="A312" i="4"/>
  <c r="A292" i="4"/>
  <c r="A279" i="4"/>
  <c r="A272" i="4"/>
  <c r="A265" i="4"/>
  <c r="A252" i="4"/>
  <c r="A237" i="4"/>
  <c r="A174" i="4"/>
  <c r="A160" i="4"/>
  <c r="A153" i="4"/>
  <c r="A2" i="4"/>
  <c r="A242" i="4"/>
  <c r="A212" i="4"/>
  <c r="A172" i="4"/>
  <c r="A314" i="4"/>
  <c r="A298" i="4"/>
  <c r="A278" i="4"/>
  <c r="A251" i="4"/>
  <c r="A223" i="4"/>
  <c r="A214" i="4"/>
  <c r="A4" i="4"/>
  <c r="A250" i="4"/>
  <c r="A192" i="4"/>
  <c r="A178" i="4"/>
  <c r="A146" i="4"/>
  <c r="A127" i="4"/>
  <c r="A185" i="4"/>
  <c r="A128" i="4"/>
  <c r="A177" i="4"/>
  <c r="A129" i="4"/>
  <c r="A343" i="4"/>
  <c r="A309" i="4"/>
  <c r="A262" i="4"/>
  <c r="A243" i="4"/>
  <c r="A211" i="4"/>
  <c r="A190" i="4"/>
  <c r="A163" i="4"/>
  <c r="A156" i="4"/>
  <c r="A51" i="4"/>
  <c r="A140" i="4"/>
  <c r="A342" i="4"/>
  <c r="A322" i="4"/>
  <c r="A302" i="4"/>
  <c r="A281" i="4"/>
  <c r="A268" i="4"/>
  <c r="A261" i="4"/>
  <c r="A247" i="4"/>
  <c r="A240" i="4"/>
  <c r="A218" i="4"/>
  <c r="A197" i="4"/>
  <c r="A180" i="4"/>
  <c r="A144" i="4"/>
  <c r="A138" i="4"/>
  <c r="A135" i="4"/>
  <c r="A324" i="4"/>
  <c r="A227" i="4"/>
  <c r="A164" i="4"/>
  <c r="A179" i="4"/>
  <c r="A328" i="4"/>
  <c r="A321" i="4"/>
  <c r="A315" i="4"/>
  <c r="A301" i="4"/>
  <c r="A287" i="4"/>
  <c r="A282" i="4"/>
  <c r="A267" i="4"/>
  <c r="A253" i="4"/>
  <c r="A203" i="4"/>
  <c r="A182" i="4"/>
  <c r="A176" i="4"/>
  <c r="A149" i="4"/>
  <c r="A122" i="4"/>
  <c r="A249" i="4"/>
  <c r="A228" i="4"/>
  <c r="A303" i="4"/>
  <c r="A241" i="4"/>
  <c r="A219" i="4"/>
  <c r="A348" i="4"/>
  <c r="A334" i="4"/>
  <c r="A327" i="4"/>
  <c r="A307" i="4"/>
  <c r="A280" i="4"/>
  <c r="A273" i="4"/>
  <c r="A254" i="4"/>
  <c r="A238" i="4"/>
  <c r="A202" i="4"/>
  <c r="A194" i="4"/>
  <c r="A168" i="4"/>
  <c r="A161" i="4"/>
  <c r="A136" i="4"/>
  <c r="A126" i="4"/>
  <c r="A18" i="4"/>
  <c r="A6" i="4"/>
  <c r="A10" i="4"/>
  <c r="A71" i="4"/>
  <c r="A220" i="4"/>
  <c r="A300" i="4"/>
  <c r="A286" i="4"/>
  <c r="A225" i="4"/>
  <c r="A231" i="4"/>
  <c r="A209" i="4"/>
  <c r="A193" i="4"/>
  <c r="A175" i="4"/>
  <c r="A154" i="4"/>
  <c r="A130" i="4"/>
  <c r="A70" i="4"/>
  <c r="A13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<sst xmlns="http://schemas.openxmlformats.org/spreadsheetml/2006/main" count="2357" uniqueCount="357">
  <si>
    <t>Journal</t>
  </si>
  <si>
    <t>Filename</t>
  </si>
  <si>
    <t>ACS Polymers Au</t>
  </si>
  <si>
    <t>https://doi.org/10.1021/acspolymersau.4c00074</t>
  </si>
  <si>
    <t>https://doi.org/10.1021/acspolymersau.4c00095</t>
  </si>
  <si>
    <t>https://doi.org/10.1021/acspolymersau.4c00089</t>
  </si>
  <si>
    <t>https://doi.org/10.1021/acspolymersau.4c00059</t>
  </si>
  <si>
    <t>https://doi.org/10.1021/acspolymersau.4c00013</t>
  </si>
  <si>
    <t>https://doi.org/10.1021/acspolymersau.4c00048</t>
  </si>
  <si>
    <t>https://doi.org/10.1021/acspolymersau.4c00050</t>
  </si>
  <si>
    <t>https://doi.org/10.1021/acspolymersau.4c00029</t>
  </si>
  <si>
    <t>https://doi.org/10.1021/acspolymersau.4c00033</t>
  </si>
  <si>
    <t>https://doi.org/10.1021/acspolymersau.4c00006</t>
  </si>
  <si>
    <t>https://doi.org/10.1021/acspolymersau.3c00047</t>
  </si>
  <si>
    <t>https://doi.org/10.1021/acspolymersau.3c00048</t>
  </si>
  <si>
    <t>https://doi.org/10.1021/acspolymersau.3c00056</t>
  </si>
  <si>
    <t>https://doi.org/10.1021/acspolymersau.3c00031</t>
  </si>
  <si>
    <t>https://doi.org/10.1021/acspolymersau.3c00015</t>
  </si>
  <si>
    <t>https://doi.org/10.1021/acspolymersau.3c00043</t>
  </si>
  <si>
    <t>https://doi.org/10.1021/acspolymersau.3c00012</t>
  </si>
  <si>
    <t>Macromolecules</t>
  </si>
  <si>
    <t>ACS Macro Letters</t>
  </si>
  <si>
    <t>https://doi.org/10.1021/acsmacrolett.4c00651</t>
  </si>
  <si>
    <t>https://doi.org/10.1021/acsmacrolett.4c00550</t>
  </si>
  <si>
    <t>https://doi.org/10.1021/acsmacrolett.4c00556</t>
  </si>
  <si>
    <t>https://doi.org/10.1021/acsmacrolett.4c00461</t>
  </si>
  <si>
    <t>DOI</t>
  </si>
  <si>
    <t>https://doi.org/10.1039/C7SC00154A</t>
  </si>
  <si>
    <t>Chemical Science</t>
  </si>
  <si>
    <t>https://doi.org/10.1021/acs.macromol.4c00728</t>
  </si>
  <si>
    <t>https://doi.org/10.1021/acspolymersau.1c00012</t>
  </si>
  <si>
    <t>Figure 5</t>
  </si>
  <si>
    <t>Figure 6</t>
  </si>
  <si>
    <t>Figure 7</t>
  </si>
  <si>
    <t>Figure 4</t>
  </si>
  <si>
    <t>https://doi.org/10.1021/acspolymersau.1c00005</t>
  </si>
  <si>
    <t>Figure 1</t>
  </si>
  <si>
    <t>Figure 2</t>
  </si>
  <si>
    <t>https://doi.org/10.1021/acspolymersau.1c00008</t>
  </si>
  <si>
    <t>https://doi.org/10.1021/acspolymersau.1c00010</t>
  </si>
  <si>
    <t>Scheme 1</t>
  </si>
  <si>
    <t>Scheme 2</t>
  </si>
  <si>
    <t>https://doi.org/10.1021/acspolymersau.1c00011</t>
  </si>
  <si>
    <t>Scheme 3</t>
  </si>
  <si>
    <t>Scheme 4</t>
  </si>
  <si>
    <t>Scheme 5</t>
  </si>
  <si>
    <t>SI</t>
  </si>
  <si>
    <t>https://doi.org/10.1021/acspolymersau.1c00017</t>
  </si>
  <si>
    <t>https://doi.org/10.1021/acspolymersau.1c00021</t>
  </si>
  <si>
    <t>Abstract</t>
  </si>
  <si>
    <t>https://doi.org/10.1021/acspolymersau.1c00027</t>
  </si>
  <si>
    <t>https://doi.org/10.1021/acspolymersau.1c00015</t>
  </si>
  <si>
    <t>https://doi.org/10.1021/acspolymersau.1c00030</t>
  </si>
  <si>
    <t>https://doi.org/10.1021/acspolymersau.1c00028</t>
  </si>
  <si>
    <t>https://doi.org/10.1021/acspolymersau.1c00034</t>
  </si>
  <si>
    <t>https://doi.org/10.1021/acspolymersau.1c00024</t>
  </si>
  <si>
    <t>https://doi.org/10.1021/acspolymersau.1c00037</t>
  </si>
  <si>
    <t>https://doi.org/10.1021/acspolymersau.1c00032</t>
  </si>
  <si>
    <t>https://doi.org/10.1021/acspolymersau.1c00029</t>
  </si>
  <si>
    <t>https://doi.org/10.1021/acspolymersau.1c00041</t>
  </si>
  <si>
    <t>https://doi.org/10.1021/acspolymersau.1c00042</t>
  </si>
  <si>
    <t>https://doi.org/10.1021/acspolymersau.1c00036</t>
  </si>
  <si>
    <t>https://doi.org/10.1021/acspolymersau.1c00049</t>
  </si>
  <si>
    <t>https://doi.org/10.1021/acspolymersau.1c00052</t>
  </si>
  <si>
    <t>https://doi.org/10.1021/acspolymersau.1c00044</t>
  </si>
  <si>
    <t>https://doi.org/10.1021/acspolymersau.1c00053</t>
  </si>
  <si>
    <t>https://doi.org/10.1021/acspolymersau.1c00054</t>
  </si>
  <si>
    <t>https://doi.org/10.1021/acspolymersau.1c00057</t>
  </si>
  <si>
    <t>https://doi.org/10.1021/acspolymersau.2c00004</t>
  </si>
  <si>
    <t>Figure 3</t>
  </si>
  <si>
    <t>https://doi.org/10.1021/acspolymersau.2c00001</t>
  </si>
  <si>
    <t>https://doi.org/10.1021/acspolymersau.2c00005</t>
  </si>
  <si>
    <t>Figure 8</t>
  </si>
  <si>
    <t>https://doi.org/10.1021/acspolymersau.2c00026</t>
  </si>
  <si>
    <t>https://doi.org/10.1021/acspolymersau.2c00013</t>
  </si>
  <si>
    <t>https://doi.org/10.1021/acspolymersau.2c00014</t>
  </si>
  <si>
    <t>https://doi.org/10.1021/acspolymersau.2c00019</t>
  </si>
  <si>
    <t>https://doi.org/10.1021/acspolymersau.2c00017</t>
  </si>
  <si>
    <t>https://doi.org/10.1021/acspolymersau.2c00023</t>
  </si>
  <si>
    <t>https://doi.org/10.1021/acspolymersau.2c00036</t>
  </si>
  <si>
    <t>License</t>
  </si>
  <si>
    <t>CC-BY-NC-ND 4.0</t>
  </si>
  <si>
    <t>CC-BY 4.0</t>
  </si>
  <si>
    <t>Counts</t>
  </si>
  <si>
    <t>https://doi.org/10.1021/acspolymersau.2c00028</t>
  </si>
  <si>
    <t>CC-BY-NC 4.0</t>
  </si>
  <si>
    <t>https://doi.org/10.1021/acspolymersau.2c00030</t>
  </si>
  <si>
    <t>https://doi.org/10.1021/acspolymersau.2c00032</t>
  </si>
  <si>
    <t>https://doi.org/10.1021/acspolymersau.2c00027</t>
  </si>
  <si>
    <t>https://doi.org/10.1021/acspolymersau.2c00034</t>
  </si>
  <si>
    <t>https://doi.org/10.1021/acspolymersau.2c00045</t>
  </si>
  <si>
    <t>https://doi.org/10.1021/acspolymersau.2c00035</t>
  </si>
  <si>
    <t>https://doi.org/10.1021/acspolymersau.2c00038</t>
  </si>
  <si>
    <t>https://doi.org/10.1021/acspolymersau.2c00044</t>
  </si>
  <si>
    <t>https://doi.org/10.1021/acspolymersau.2c00047</t>
  </si>
  <si>
    <t>https://doi.org/10.1021/acspolymersau.2c00051</t>
  </si>
  <si>
    <t>https://doi.org/10.1021/acspolymersau.2c00060</t>
  </si>
  <si>
    <t>https://doi.org/10.1021/acspolymersau.2c00066</t>
  </si>
  <si>
    <t>https://doi.org/10.1021/acspolymersau.2c00069</t>
  </si>
  <si>
    <t>https://doi.org/10.1021/acspolymersau.3c00003</t>
  </si>
  <si>
    <t>https://doi.org/10.1021/acspolymersau.2c00068</t>
  </si>
  <si>
    <t>https://doi.org/10.1021/acspolymersau.3c00006</t>
  </si>
  <si>
    <t>https://doi.org/10.1021/acspolymersau.3c00004</t>
  </si>
  <si>
    <t>https://doi.org/10.1021/acspolymersau.3c00011</t>
  </si>
  <si>
    <t>https://doi.org/10.1021/acspolymersau.3c00010</t>
  </si>
  <si>
    <t>https://doi.org/10.1021/acspolymersau.3c00028</t>
  </si>
  <si>
    <t>https://doi.org/10.1021/acspolymersau.3c00017</t>
  </si>
  <si>
    <t>https://doi.org/10.1021/acspolymersau.3c00020</t>
  </si>
  <si>
    <t>https://doi.org/10.1021/acspolymersau.3c00022</t>
  </si>
  <si>
    <t>https://doi.org/10.1021/acspolymersau.3c00026</t>
  </si>
  <si>
    <t>https://doi.org/10.1021/acspolymersau.3c00029</t>
  </si>
  <si>
    <t>https://doi.org/10.1021/acspolymersau.3c00035</t>
  </si>
  <si>
    <t>https://doi.org/10.1021/acspolymersau.3c00037</t>
  </si>
  <si>
    <t>https://doi.org/10.1021/acspolymersau.3c00021</t>
  </si>
  <si>
    <t>https://doi.org/10.1021/acspolymersau.3c00033</t>
  </si>
  <si>
    <t>https://doi.org/10.1021/acspolymersau.3c00046</t>
  </si>
  <si>
    <t>https://doi.org/10.1021/acspolymersau.3c00052</t>
  </si>
  <si>
    <t>https://doi.org/10.1021/acspolymersau.4c00009</t>
  </si>
  <si>
    <t>https://doi.org/10.1021/acspolymersau.4c00073</t>
  </si>
  <si>
    <t>https://doi.org/10.1021/acspolymersau.4c00088</t>
  </si>
  <si>
    <t>https://doi.org/10.1021/acspolymersau.4c00079</t>
  </si>
  <si>
    <t>https://doi.org/10.1021/acspolymersau.4c00096</t>
  </si>
  <si>
    <t>https://doi.org/10.1021/acspolymersau.5c00007</t>
  </si>
  <si>
    <t>https://doi.org/10.1021/acspolymersau.4c00101</t>
  </si>
  <si>
    <t>https://doi.org/10.1021/acspolymersau.5c00016</t>
  </si>
  <si>
    <t>https://doi.org/10.1021/acspolymersau.4c00099</t>
  </si>
  <si>
    <t>https://doi.org/10.1021/acspolymersau.5c00009</t>
  </si>
  <si>
    <t>https://doi.org/10.1021/acspolymersau.5c00020</t>
  </si>
  <si>
    <t>https://doi.org/10.1021/acspolymersau.5c00012</t>
  </si>
  <si>
    <t>Suffix</t>
  </si>
  <si>
    <t>Source1</t>
  </si>
  <si>
    <t>Source2</t>
  </si>
  <si>
    <t>MAIN</t>
  </si>
  <si>
    <t>Page S2</t>
  </si>
  <si>
    <t>Figure S2</t>
  </si>
  <si>
    <t>Scheme S1</t>
  </si>
  <si>
    <t>Scheme S2</t>
  </si>
  <si>
    <t>Scheme S3</t>
  </si>
  <si>
    <t>Figure S3</t>
  </si>
  <si>
    <t>Figure S4</t>
  </si>
  <si>
    <t>Page S8</t>
  </si>
  <si>
    <t>Page S9</t>
  </si>
  <si>
    <t>Page S10</t>
  </si>
  <si>
    <t>Figure S10</t>
  </si>
  <si>
    <t>Figure S13</t>
  </si>
  <si>
    <t>Figure S14</t>
  </si>
  <si>
    <t>Figure S15</t>
  </si>
  <si>
    <t>Figure S16</t>
  </si>
  <si>
    <t>Figure S17</t>
  </si>
  <si>
    <t>Figure S18</t>
  </si>
  <si>
    <t>Figure S19</t>
  </si>
  <si>
    <t>Figure S20</t>
  </si>
  <si>
    <t>Figure S21</t>
  </si>
  <si>
    <t>Figure S22</t>
  </si>
  <si>
    <t>Figure S1</t>
  </si>
  <si>
    <t>Figure S5</t>
  </si>
  <si>
    <t>Figure S9</t>
  </si>
  <si>
    <t>Figure S12</t>
  </si>
  <si>
    <t>Figure S6</t>
  </si>
  <si>
    <t>Page S5</t>
  </si>
  <si>
    <t>Page S6</t>
  </si>
  <si>
    <t>Page S7</t>
  </si>
  <si>
    <t>Page S12</t>
  </si>
  <si>
    <t>Page S11</t>
  </si>
  <si>
    <t>Page S13</t>
  </si>
  <si>
    <t>Page S4</t>
  </si>
  <si>
    <t>Figure S7</t>
  </si>
  <si>
    <t>Figure S8</t>
  </si>
  <si>
    <t>Scheme S4</t>
  </si>
  <si>
    <t>Scheme S5</t>
  </si>
  <si>
    <t>Scheme S6</t>
  </si>
  <si>
    <t>Scheme S7</t>
  </si>
  <si>
    <t>Figure S3a</t>
  </si>
  <si>
    <t>Figure S3b</t>
  </si>
  <si>
    <t>Figure S3c</t>
  </si>
  <si>
    <t>Figure S3d</t>
  </si>
  <si>
    <t>Figure S3e</t>
  </si>
  <si>
    <t>Figure S3f</t>
  </si>
  <si>
    <t>Figure S3g</t>
  </si>
  <si>
    <t>Figure S3h</t>
  </si>
  <si>
    <t>Figure S4a</t>
  </si>
  <si>
    <t>Figure S4b</t>
  </si>
  <si>
    <t>Figure S4c</t>
  </si>
  <si>
    <t>Figure S10a</t>
  </si>
  <si>
    <t>Figure S10b</t>
  </si>
  <si>
    <t>Figure S10c</t>
  </si>
  <si>
    <t>Figure S10d</t>
  </si>
  <si>
    <t>https://doi.org/10.1021/acsmacrolett.7b00723</t>
  </si>
  <si>
    <t>CC-BY-NC-ND</t>
  </si>
  <si>
    <t>https://doi.org/10.1021/acsmacrolett.8b00825</t>
  </si>
  <si>
    <t>CC-BY</t>
  </si>
  <si>
    <t>https://doi.org/10.1021/acsmacrolett.8b00807</t>
  </si>
  <si>
    <t>https://doi.org/10.1021/acsmacrolett.8b00675</t>
  </si>
  <si>
    <t>https://doi.org/10.1021/acsmacrolett.8b00168</t>
  </si>
  <si>
    <t>https://doi.org/10.1021/acsmacrolett.7b00891</t>
  </si>
  <si>
    <t>https://doi.org/10.1021/acsmacrolett.7b00905</t>
  </si>
  <si>
    <t>https://doi.org/10.1021/acsmacrolett.0c00175</t>
  </si>
  <si>
    <t>https://doi.org/10.1021/acsmacrolett.0c00241</t>
  </si>
  <si>
    <t>https://doi.org/10.1021/acsmacrolett.0c00044</t>
  </si>
  <si>
    <t>https://doi.org/10.1021/acsmacrolett.9b01023</t>
  </si>
  <si>
    <t>Prefix</t>
  </si>
  <si>
    <t>https://doi.org/10.1021/acsmacrolett.9b00814</t>
  </si>
  <si>
    <t>https://doi.org/10.1021/acsmacrolett.9b00792</t>
  </si>
  <si>
    <t>https://doi.org/10.1021/acsmacrolett.9b00386</t>
  </si>
  <si>
    <t>https://doi.org/10.1021/acsmacrolett.9b00459</t>
  </si>
  <si>
    <t>https://doi.org/10.1021/acsmacrolett.9b00258</t>
  </si>
  <si>
    <t>https://doi.org/10.1021/acsmacrolett.1c00564</t>
  </si>
  <si>
    <t>https://doi.org/10.1021/acsmacrolett.1c00457</t>
  </si>
  <si>
    <t>https://doi.org/10.1021/acsmacrolett.1c00142</t>
  </si>
  <si>
    <t>https://doi.org/10.1021/acsmacrolett.0c00849</t>
  </si>
  <si>
    <t>https://doi.org/10.1021/acsmacrolett.0c00784</t>
  </si>
  <si>
    <t>https://doi.org/10.1021/acsmacrolett.0c00645</t>
  </si>
  <si>
    <t>https://doi.org/10.1021/acsmacrolett.0c00469</t>
  </si>
  <si>
    <t>https://doi.org/10.1021/acsmacrolett.0c00495</t>
  </si>
  <si>
    <t>https://doi.org/10.1021/acsmacrolett.0c00461</t>
  </si>
  <si>
    <t>https://doi.org/10.1021/acsmacrolett.2c00136</t>
  </si>
  <si>
    <t>https://doi.org/10.1021/acsmacrolett.1c00776</t>
  </si>
  <si>
    <t>https://doi.org/10.1021/acsmacrolett.2c00004</t>
  </si>
  <si>
    <t>https://doi.org/10.1021/acsmacrolett.1c00716</t>
  </si>
  <si>
    <t>https://doi.org/10.1021/acsmacrolett.1c00758</t>
  </si>
  <si>
    <t>https://doi.org/10.1021/acsmacrolett.1c00712</t>
  </si>
  <si>
    <t>https://doi.org/10.1021/acsmacrolett.1c00647</t>
  </si>
  <si>
    <t>https://doi.org/10.1021/acsmacrolett.1c00686</t>
  </si>
  <si>
    <t>https://doi.org/10.1021/acsmacrolett.1c00676</t>
  </si>
  <si>
    <t>https://doi.org/10.1021/acsmacrolett.1c00682</t>
  </si>
  <si>
    <t>https://doi.org/10.1021/acsmacrolett.1c00628</t>
  </si>
  <si>
    <t>https://doi.org/10.1021/acsmacrolett.1c00558</t>
  </si>
  <si>
    <t>https://doi.org/10.1021/acsmacrolett.3c00044</t>
  </si>
  <si>
    <t>https://doi.org/10.1021/acsmacrolett.3c00055</t>
  </si>
  <si>
    <t>https://doi.org/10.1021/acsmacrolett.2c00737</t>
  </si>
  <si>
    <t>https://doi.org/10.1021/acsmacrolett.3c00021</t>
  </si>
  <si>
    <t>Chart 1</t>
  </si>
  <si>
    <t>https://doi.org/10.1021/acsmacrolett.2c00699</t>
  </si>
  <si>
    <t>https://doi.org/10.1021/acsmacrolett.2c00701</t>
  </si>
  <si>
    <t>https://doi.org/10.1021/acsmacrolett.2c00743</t>
  </si>
  <si>
    <t>https://doi.org/10.1021/acsmacrolett.2c00568</t>
  </si>
  <si>
    <t>https://doi.org/10.1021/acsmacrolett.2c00672</t>
  </si>
  <si>
    <t>https://doi.org/10.1021/acsmacrolett.2c00506</t>
  </si>
  <si>
    <t>https://doi.org/10.1021/acsmacrolett.2c00455</t>
  </si>
  <si>
    <t>https://doi.org/10.1021/acsmacrolett.2c00359</t>
  </si>
  <si>
    <t>https://doi.org/10.1021/acsmacrolett.2c00302</t>
  </si>
  <si>
    <t>https://doi.org/10.1021/acsmacrolett.3c00460</t>
  </si>
  <si>
    <t>https://doi.org/10.1021/acsmacrolett.3c00371</t>
  </si>
  <si>
    <t>https://doi.org/10.1021/acsmacrolett.3c00418</t>
  </si>
  <si>
    <t>https://doi.org/10.1021/acsmacrolett.3c00389</t>
  </si>
  <si>
    <t>https://doi.org/10.1021/acsmacrolett.3c00276</t>
  </si>
  <si>
    <t>https://doi.org/10.1021/acsmacrolett.3c00382</t>
  </si>
  <si>
    <t>https://doi.org/10.1021/acsmacrolett.3c00208</t>
  </si>
  <si>
    <t>https://doi.org/10.1021/acsmacrolett.3c00355</t>
  </si>
  <si>
    <t>https://doi.org/10.1021/acsmacrolett.3c00217</t>
  </si>
  <si>
    <t>https://doi.org/10.1021/acsmacrolett.3c00751</t>
  </si>
  <si>
    <t>https://doi.org/10.1021/acsmacrolett.3c00714</t>
  </si>
  <si>
    <t>https://doi.org/10.1021/acsmacrolett.3c00657</t>
  </si>
  <si>
    <t>https://doi.org/10.1021/acsmacrolett.3c00397</t>
  </si>
  <si>
    <t>https://doi.org/10.1021/acsmacrolett.3c00481</t>
  </si>
  <si>
    <t>https://doi.org/10.1021/acsmacrolett.4c00400</t>
  </si>
  <si>
    <t>https://doi.org/10.1021/acsmacrolett.4c00321</t>
  </si>
  <si>
    <t>https://doi.org/10.1021/acsmacrolett.4c00204</t>
  </si>
  <si>
    <t>https://doi.org/10.1021/acsmacrolett.4c00313</t>
  </si>
  <si>
    <t>https://doi.org/10.1021/acsmacrolett.4c00117</t>
  </si>
  <si>
    <t>https://doi.org/10.1021/acsmacrolett.4c00069</t>
  </si>
  <si>
    <t>https://doi.org/10.1021/acsmacrolett.4c00101</t>
  </si>
  <si>
    <t>https://doi.org/10.1021/acsmacrolett.4c00758</t>
  </si>
  <si>
    <t>https://doi.org/10.1021/acsmacrolett.4c00665</t>
  </si>
  <si>
    <t>https://doi.org/10.1021/acsmacrolett.4c00642</t>
  </si>
  <si>
    <t>https://doi.org/10.1021/acsmacrolett.4c00675</t>
  </si>
  <si>
    <t>https://doi.org/10.1021/acsmacrolett.4c00368</t>
  </si>
  <si>
    <t>https://doi.org/10.1021/acsmacrolett.4c00463</t>
  </si>
  <si>
    <t>https://doi.org/10.1021/acsmacrolett.4c00534</t>
  </si>
  <si>
    <t>https://doi.org/10.1021/acsmacrolett.4c00404</t>
  </si>
  <si>
    <t>https://doi.org/10.1021/acsmacrolett.5c00171</t>
  </si>
  <si>
    <t>https://doi.org/10.1021/acsmacrolett.5c00205</t>
  </si>
  <si>
    <t>https://doi.org/10.1021/acsmacrolett.5c00165</t>
  </si>
  <si>
    <t>https://doi.org/10.1021/acsmacrolett.5c00043</t>
  </si>
  <si>
    <t>https://doi.org/10.1021/acsmacrolett.5c00065</t>
  </si>
  <si>
    <t>https://doi.org/10.1021/acsmacrolett.5c00053</t>
  </si>
  <si>
    <t>https://doi.org/10.1021/acsmacrolett.4c00810</t>
  </si>
  <si>
    <t>https://doi.org/10.1021/acsmacrolett.5c00009</t>
  </si>
  <si>
    <t>https://doi.org/10.1021/acsmacrolett.4c00839</t>
  </si>
  <si>
    <t>https://doi.org/10.1021/ma401311s</t>
  </si>
  <si>
    <t>macromolecules</t>
  </si>
  <si>
    <t>https://doi.org/10.1021/ma402069b</t>
  </si>
  <si>
    <t>https://doi.org/10.1021/ma401869p</t>
  </si>
  <si>
    <t>https://doi.org/10.1021/ma500163u</t>
  </si>
  <si>
    <t>https://doi.org/10.1021/ma5011183</t>
  </si>
  <si>
    <t>https://doi.org/10.1021/ma501140h</t>
  </si>
  <si>
    <t>https://doi.org/10.1021/ma5014308</t>
  </si>
  <si>
    <t>https://doi.org/10.1021/ma502460t</t>
  </si>
  <si>
    <t>https://doi.org/10.1021/ma502542g</t>
  </si>
  <si>
    <t>https://doi.org/10.1021/acs.macromol.5b00435</t>
  </si>
  <si>
    <t>https://doi.org/10.1021/acs.macromol.5b01293</t>
  </si>
  <si>
    <t>https://doi.org/10.1021/acs.macromol.5b01426</t>
  </si>
  <si>
    <t>https://doi.org/10.1021/acs.macromol.5b02119</t>
  </si>
  <si>
    <t>https://doi.org/10.1021/acs.macromol.5b02212</t>
  </si>
  <si>
    <t>https://doi.org/10.1021/acs.macromol.5b02385</t>
  </si>
  <si>
    <t>https://doi.org/10.1021/acs.macromol.5b02152</t>
  </si>
  <si>
    <t>https://doi.org/10.1021/acs.macromol.5b01994</t>
  </si>
  <si>
    <t>https://doi.org/10.1021/acs.macromol.5b02267</t>
  </si>
  <si>
    <t>https://doi.org/10.1021/acs.macromol.5b02470</t>
  </si>
  <si>
    <t>https://doi.org/10.1021/acs.macromol.5b02602</t>
  </si>
  <si>
    <t>https://doi.org/10.1021/acs.macromol.5b02710</t>
  </si>
  <si>
    <t>https://doi.org/10.1021/acs.macromol.5b02594</t>
  </si>
  <si>
    <t>https://doi.org/10.1021/acs.macromol.6b00422</t>
  </si>
  <si>
    <t>https://doi.org/10.1021/acs.macromol.6b00820</t>
  </si>
  <si>
    <t>https://doi.org/10.1021/acs.macromol.6b00987</t>
  </si>
  <si>
    <t>https://doi.org/10.1021/acs.macromol.6b01563</t>
  </si>
  <si>
    <t>https://doi.org/10.1021/acs.macromol.6b01729</t>
  </si>
  <si>
    <t>https://doi.org/10.1021/acs.macromol.6b01963</t>
  </si>
  <si>
    <t>https://doi.org/10.1021/acs.macromol.6b02309</t>
  </si>
  <si>
    <t>https://doi.org/10.1021/acs.macromol.6b02643</t>
  </si>
  <si>
    <t>https://doi.org/10.1021/acs.macromol.6b02727</t>
  </si>
  <si>
    <t>https://doi.org/10.1021/acs.macromol.7b00319</t>
  </si>
  <si>
    <t>https://doi.org/10.1021/acs.macromol.7b00475</t>
  </si>
  <si>
    <t>https://doi.org/10.1021/acs.macromol.7b01005</t>
  </si>
  <si>
    <t>https://doi.org/10.1021/acs.macromol.7b01769</t>
  </si>
  <si>
    <t>https://doi.org/10.1021/acs.macromol.7b01475</t>
  </si>
  <si>
    <t>https://doi.org/10.1021/acs.macromol.7b02136</t>
  </si>
  <si>
    <t>https://doi.org/10.1021/acs.macromol.7b01832</t>
  </si>
  <si>
    <t>https://doi.org/10.1021/acs.macromol.7b02030</t>
  </si>
  <si>
    <t>https://doi.org/10.1039/C5SC02385H</t>
  </si>
  <si>
    <t>chemicalscience</t>
  </si>
  <si>
    <t>CC-BY 3.0</t>
  </si>
  <si>
    <t>CC-BY-NC 3.0</t>
  </si>
  <si>
    <t>Scheme 6</t>
  </si>
  <si>
    <t>Scheme 7</t>
  </si>
  <si>
    <t>Scheme 8</t>
  </si>
  <si>
    <t>Scheme 9</t>
  </si>
  <si>
    <t>Scheme 10</t>
  </si>
  <si>
    <t>https://doi.org/10.1039/D5DD00051C</t>
  </si>
  <si>
    <t>Digital Discovery</t>
  </si>
  <si>
    <t>digitaldiscovery</t>
  </si>
  <si>
    <t>Faraday Discussions</t>
  </si>
  <si>
    <t>https://doi.org/10.1039/C8FD00197A</t>
  </si>
  <si>
    <t>faradaydiscussions</t>
  </si>
  <si>
    <t>https://doi.org/10.1039/D4SC03222E</t>
  </si>
  <si>
    <t>https://doi.org/10.1039/D4SC06902A</t>
  </si>
  <si>
    <t>https://doi.org/10.1016/j.polymer.2025.128830</t>
  </si>
  <si>
    <t>polymer</t>
  </si>
  <si>
    <t>Polymer</t>
  </si>
  <si>
    <t>https://doi.org/10.1021/acs.macromol.9b02185</t>
  </si>
  <si>
    <t>chemengjournal</t>
  </si>
  <si>
    <t>Chemical Engineering Journal</t>
  </si>
  <si>
    <t>https://doi.org/10.1016/j.cej.2024.149698</t>
  </si>
  <si>
    <t>Angewandte Chemie IE</t>
  </si>
  <si>
    <t>angewchemie</t>
  </si>
  <si>
    <t>https://doi.org/10.1002/anie.202211946</t>
  </si>
  <si>
    <t>https://doi.org/10.1021/acs.macromol.7b02457</t>
  </si>
  <si>
    <t>https://doi.org/10.1021/acs.macromol.7b02288</t>
  </si>
  <si>
    <t>https://doi.org/10.1021/acs.macromol.8b00178</t>
  </si>
  <si>
    <t>https://doi.org/10.1021/acs.macromol.8b00294</t>
  </si>
  <si>
    <t>https://doi.org/10.1021/acs.macromol.8b00715</t>
  </si>
  <si>
    <t>https://doi.org/10.1021/acs.macromol.8b00772</t>
  </si>
  <si>
    <t>https://doi.org/10.1021/acs.macromol.7b02610</t>
  </si>
  <si>
    <t>https://doi.org/10.1021/acs.macromol.8b01224</t>
  </si>
  <si>
    <t>https://doi.org/10.1021/acs.macromol.8b01077</t>
  </si>
  <si>
    <t>https://doi.org/10.1021/acs.macromol.8b01251</t>
  </si>
  <si>
    <t>https://doi.org/10.1021/acs.macromol.8b01150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</si>
</sst>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i.org/10.1021/acspolymersau.2c00051" TargetMode="External"/><Relationship Id="rId299" Type="http://schemas.openxmlformats.org/officeDocument/2006/relationships/hyperlink" Target="https://doi.org/10.1021/acsmacrolett.3c00657" TargetMode="External"/><Relationship Id="rId21" Type="http://schemas.openxmlformats.org/officeDocument/2006/relationships/hyperlink" Target="https://doi.org/10.1021/acspolymersau.1c00028" TargetMode="External"/><Relationship Id="rId63" Type="http://schemas.openxmlformats.org/officeDocument/2006/relationships/hyperlink" Target="https://doi.org/10.1021/acspolymersau.2c00005" TargetMode="External"/><Relationship Id="rId159" Type="http://schemas.openxmlformats.org/officeDocument/2006/relationships/hyperlink" Target="https://doi.org/10.1021/acspolymersau.3c00020" TargetMode="External"/><Relationship Id="rId324" Type="http://schemas.openxmlformats.org/officeDocument/2006/relationships/hyperlink" Target="https://doi.org/10.1021/acsmacrolett.4c00550" TargetMode="External"/><Relationship Id="rId366" Type="http://schemas.openxmlformats.org/officeDocument/2006/relationships/hyperlink" Target="https://doi.org/10.1021/acs.macromol.5b01994" TargetMode="External"/><Relationship Id="rId170" Type="http://schemas.openxmlformats.org/officeDocument/2006/relationships/hyperlink" Target="https://doi.org/10.1021/acspolymersau.3c00037" TargetMode="External"/><Relationship Id="rId226" Type="http://schemas.openxmlformats.org/officeDocument/2006/relationships/hyperlink" Target="https://doi.org/10.1021/acsmacrolett.9b00459" TargetMode="External"/><Relationship Id="rId268" Type="http://schemas.openxmlformats.org/officeDocument/2006/relationships/hyperlink" Target="https://doi.org/10.1021/acsmacrolett.2c00699" TargetMode="External"/><Relationship Id="rId32" Type="http://schemas.openxmlformats.org/officeDocument/2006/relationships/hyperlink" Target="https://doi.org/10.1021/acspolymersau.1c00037" TargetMode="External"/><Relationship Id="rId74" Type="http://schemas.openxmlformats.org/officeDocument/2006/relationships/hyperlink" Target="https://doi.org/10.1021/acspolymersau.2c00013" TargetMode="External"/><Relationship Id="rId128" Type="http://schemas.openxmlformats.org/officeDocument/2006/relationships/hyperlink" Target="https://doi.org/10.1021/acspolymersau.3c00003" TargetMode="External"/><Relationship Id="rId335" Type="http://schemas.openxmlformats.org/officeDocument/2006/relationships/hyperlink" Target="https://doi.org/10.1021/acsmacrolett.5c00165" TargetMode="External"/><Relationship Id="rId377" Type="http://schemas.openxmlformats.org/officeDocument/2006/relationships/hyperlink" Target="https://doi.org/10.1021/acs.macromol.6b00422" TargetMode="External"/><Relationship Id="rId5" Type="http://schemas.openxmlformats.org/officeDocument/2006/relationships/hyperlink" Target="https://doi.org/10.1021/acspolymersau.1c00010" TargetMode="External"/><Relationship Id="rId181" Type="http://schemas.openxmlformats.org/officeDocument/2006/relationships/hyperlink" Target="https://doi.org/10.1021/acspolymersau.3c00056" TargetMode="External"/><Relationship Id="rId237" Type="http://schemas.openxmlformats.org/officeDocument/2006/relationships/hyperlink" Target="https://doi.org/10.1021/acsmacrolett.0c00469" TargetMode="External"/><Relationship Id="rId402" Type="http://schemas.openxmlformats.org/officeDocument/2006/relationships/hyperlink" Target="https://doi.org/10.1021/acs.macromol.7b02457" TargetMode="External"/><Relationship Id="rId279" Type="http://schemas.openxmlformats.org/officeDocument/2006/relationships/hyperlink" Target="https://doi.org/10.1021/acsmacrolett.2c00302" TargetMode="External"/><Relationship Id="rId43" Type="http://schemas.openxmlformats.org/officeDocument/2006/relationships/hyperlink" Target="https://doi.org/10.1021/acspolymersau.1c00044" TargetMode="External"/><Relationship Id="rId139" Type="http://schemas.openxmlformats.org/officeDocument/2006/relationships/hyperlink" Target="https://doi.org/10.1021/acspolymersau.3c00012" TargetMode="External"/><Relationship Id="rId290" Type="http://schemas.openxmlformats.org/officeDocument/2006/relationships/hyperlink" Target="https://doi.org/10.1021/acsmacrolett.3c00382" TargetMode="External"/><Relationship Id="rId304" Type="http://schemas.openxmlformats.org/officeDocument/2006/relationships/hyperlink" Target="https://doi.org/10.1021/acsmacrolett.4c00321" TargetMode="External"/><Relationship Id="rId346" Type="http://schemas.openxmlformats.org/officeDocument/2006/relationships/hyperlink" Target="https://doi.org/10.1021/ma500163u" TargetMode="External"/><Relationship Id="rId388" Type="http://schemas.openxmlformats.org/officeDocument/2006/relationships/hyperlink" Target="https://doi.org/10.1021/acs.macromol.6b02643" TargetMode="External"/><Relationship Id="rId85" Type="http://schemas.openxmlformats.org/officeDocument/2006/relationships/hyperlink" Target="https://doi.org/10.1021/acspolymersau.2c00017" TargetMode="External"/><Relationship Id="rId150" Type="http://schemas.openxmlformats.org/officeDocument/2006/relationships/hyperlink" Target="https://doi.org/10.1021/acspolymersau.3c00028" TargetMode="External"/><Relationship Id="rId192" Type="http://schemas.openxmlformats.org/officeDocument/2006/relationships/hyperlink" Target="https://doi.org/10.1021/acspolymersau.4c00074" TargetMode="External"/><Relationship Id="rId206" Type="http://schemas.openxmlformats.org/officeDocument/2006/relationships/hyperlink" Target="https://doi.org/10.1021/acspolymersau.5c00020" TargetMode="External"/><Relationship Id="rId413" Type="http://schemas.openxmlformats.org/officeDocument/2006/relationships/hyperlink" Target="https://doi.org/10.1021/acs.macromol.8b01251" TargetMode="External"/><Relationship Id="rId248" Type="http://schemas.openxmlformats.org/officeDocument/2006/relationships/hyperlink" Target="https://doi.org/10.1021/acsmacrolett.2c00004" TargetMode="External"/><Relationship Id="rId12" Type="http://schemas.openxmlformats.org/officeDocument/2006/relationships/hyperlink" Target="https://doi.org/10.1021/acspolymersau.1c00021" TargetMode="External"/><Relationship Id="rId108" Type="http://schemas.openxmlformats.org/officeDocument/2006/relationships/hyperlink" Target="https://doi.org/10.1021/acspolymersau.2c00045" TargetMode="External"/><Relationship Id="rId315" Type="http://schemas.openxmlformats.org/officeDocument/2006/relationships/hyperlink" Target="https://doi.org/10.1021/acsmacrolett.4c00651" TargetMode="External"/><Relationship Id="rId357" Type="http://schemas.openxmlformats.org/officeDocument/2006/relationships/hyperlink" Target="https://doi.org/10.1021/acs.macromol.5b01293" TargetMode="External"/><Relationship Id="rId54" Type="http://schemas.openxmlformats.org/officeDocument/2006/relationships/hyperlink" Target="https://doi.org/10.1021/acspolymersau.1c00054" TargetMode="External"/><Relationship Id="rId96" Type="http://schemas.openxmlformats.org/officeDocument/2006/relationships/hyperlink" Target="https://doi.org/10.1021/acspolymersau.2c00028" TargetMode="External"/><Relationship Id="rId161" Type="http://schemas.openxmlformats.org/officeDocument/2006/relationships/hyperlink" Target="https://doi.org/10.1021/acspolymersau.3c00031" TargetMode="External"/><Relationship Id="rId217" Type="http://schemas.openxmlformats.org/officeDocument/2006/relationships/hyperlink" Target="https://doi.org/10.1021/acsmacrolett.7b00905" TargetMode="External"/><Relationship Id="rId399" Type="http://schemas.openxmlformats.org/officeDocument/2006/relationships/hyperlink" Target="https://doi.org/10.1021/acs.macromol.7b02030" TargetMode="External"/><Relationship Id="rId259" Type="http://schemas.openxmlformats.org/officeDocument/2006/relationships/hyperlink" Target="https://doi.org/10.1021/acsmacrolett.1c00628" TargetMode="External"/><Relationship Id="rId23" Type="http://schemas.openxmlformats.org/officeDocument/2006/relationships/hyperlink" Target="https://doi.org/10.1021/acspolymersau.1c00028" TargetMode="External"/><Relationship Id="rId119" Type="http://schemas.openxmlformats.org/officeDocument/2006/relationships/hyperlink" Target="https://doi.org/10.1021/acspolymersau.2c00060" TargetMode="External"/><Relationship Id="rId270" Type="http://schemas.openxmlformats.org/officeDocument/2006/relationships/hyperlink" Target="https://doi.org/10.1021/acsmacrolett.2c00743" TargetMode="External"/><Relationship Id="rId326" Type="http://schemas.openxmlformats.org/officeDocument/2006/relationships/hyperlink" Target="https://doi.org/10.1021/acsmacrolett.4c00368" TargetMode="External"/><Relationship Id="rId65" Type="http://schemas.openxmlformats.org/officeDocument/2006/relationships/hyperlink" Target="https://doi.org/10.1021/acspolymersau.2c00005" TargetMode="External"/><Relationship Id="rId130" Type="http://schemas.openxmlformats.org/officeDocument/2006/relationships/hyperlink" Target="https://doi.org/10.1021/acspolymersau.2c00068" TargetMode="External"/><Relationship Id="rId368" Type="http://schemas.openxmlformats.org/officeDocument/2006/relationships/hyperlink" Target="https://doi.org/10.1021/acs.macromol.5b02267" TargetMode="External"/><Relationship Id="rId172" Type="http://schemas.openxmlformats.org/officeDocument/2006/relationships/hyperlink" Target="https://doi.org/10.1021/acspolymersau.3c00021" TargetMode="External"/><Relationship Id="rId228" Type="http://schemas.openxmlformats.org/officeDocument/2006/relationships/hyperlink" Target="https://doi.org/10.1021/acsmacrolett.1c00564" TargetMode="External"/><Relationship Id="rId281" Type="http://schemas.openxmlformats.org/officeDocument/2006/relationships/hyperlink" Target="https://doi.org/10.1021/acsmacrolett.3c00371" TargetMode="External"/><Relationship Id="rId337" Type="http://schemas.openxmlformats.org/officeDocument/2006/relationships/hyperlink" Target="https://doi.org/10.1021/acsmacrolett.5c00065" TargetMode="External"/><Relationship Id="rId34" Type="http://schemas.openxmlformats.org/officeDocument/2006/relationships/hyperlink" Target="https://doi.org/10.1021/acspolymersau.1c00032" TargetMode="External"/><Relationship Id="rId76" Type="http://schemas.openxmlformats.org/officeDocument/2006/relationships/hyperlink" Target="https://doi.org/10.1021/acspolymersau.2c00013" TargetMode="External"/><Relationship Id="rId141" Type="http://schemas.openxmlformats.org/officeDocument/2006/relationships/hyperlink" Target="https://doi.org/10.1021/acspolymersau.3c00012" TargetMode="External"/><Relationship Id="rId379" Type="http://schemas.openxmlformats.org/officeDocument/2006/relationships/hyperlink" Target="https://doi.org/10.1021/acs.macromol.6b00987" TargetMode="External"/><Relationship Id="rId7" Type="http://schemas.openxmlformats.org/officeDocument/2006/relationships/hyperlink" Target="https://doi.org/10.1021/acspolymersau.1c00011" TargetMode="External"/><Relationship Id="rId183" Type="http://schemas.openxmlformats.org/officeDocument/2006/relationships/hyperlink" Target="https://doi.org/10.1021/acspolymersau.4c00029" TargetMode="External"/><Relationship Id="rId239" Type="http://schemas.openxmlformats.org/officeDocument/2006/relationships/hyperlink" Target="https://doi.org/10.1021/acsmacrolett.0c00461" TargetMode="External"/><Relationship Id="rId390" Type="http://schemas.openxmlformats.org/officeDocument/2006/relationships/hyperlink" Target="https://doi.org/10.1021/acs.macromol.6b02727" TargetMode="External"/><Relationship Id="rId404" Type="http://schemas.openxmlformats.org/officeDocument/2006/relationships/hyperlink" Target="https://doi.org/10.1021/acs.macromol.8b00294" TargetMode="External"/><Relationship Id="rId250" Type="http://schemas.openxmlformats.org/officeDocument/2006/relationships/hyperlink" Target="https://doi.org/10.1021/acsmacrolett.1c00758" TargetMode="External"/><Relationship Id="rId292" Type="http://schemas.openxmlformats.org/officeDocument/2006/relationships/hyperlink" Target="https://doi.org/10.1021/acsmacrolett.3c00208" TargetMode="External"/><Relationship Id="rId306" Type="http://schemas.openxmlformats.org/officeDocument/2006/relationships/hyperlink" Target="https://doi.org/10.1021/acsmacrolett.4c00313" TargetMode="External"/><Relationship Id="rId45" Type="http://schemas.openxmlformats.org/officeDocument/2006/relationships/hyperlink" Target="https://doi.org/10.1021/acspolymersau.1c00044" TargetMode="External"/><Relationship Id="rId87" Type="http://schemas.openxmlformats.org/officeDocument/2006/relationships/hyperlink" Target="https://doi.org/10.1021/acspolymersau.2c00017" TargetMode="External"/><Relationship Id="rId110" Type="http://schemas.openxmlformats.org/officeDocument/2006/relationships/hyperlink" Target="https://doi.org/10.1021/acspolymersau.2c00045" TargetMode="External"/><Relationship Id="rId348" Type="http://schemas.openxmlformats.org/officeDocument/2006/relationships/hyperlink" Target="https://doi.org/10.1021/ma5014308" TargetMode="External"/><Relationship Id="rId152" Type="http://schemas.openxmlformats.org/officeDocument/2006/relationships/hyperlink" Target="https://doi.org/10.1021/acspolymersau.3c00017" TargetMode="External"/><Relationship Id="rId194" Type="http://schemas.openxmlformats.org/officeDocument/2006/relationships/hyperlink" Target="https://doi.org/10.1021/acspolymersau.4c00088" TargetMode="External"/><Relationship Id="rId208" Type="http://schemas.openxmlformats.org/officeDocument/2006/relationships/hyperlink" Target="https://doi.org/10.1021/acspolymersau.1c00049" TargetMode="External"/><Relationship Id="rId415" Type="http://schemas.openxmlformats.org/officeDocument/2006/relationships/hyperlink" Target="https://doi.org/10.1021/acs.macromol.8b01150" TargetMode="External"/><Relationship Id="rId261" Type="http://schemas.openxmlformats.org/officeDocument/2006/relationships/hyperlink" Target="https://doi.org/10.1021/acsmacrolett.1c00558" TargetMode="External"/><Relationship Id="rId14" Type="http://schemas.openxmlformats.org/officeDocument/2006/relationships/hyperlink" Target="https://doi.org/10.1021/acspolymersau.1c00015" TargetMode="External"/><Relationship Id="rId56" Type="http://schemas.openxmlformats.org/officeDocument/2006/relationships/hyperlink" Target="https://doi.org/10.1021/acspolymersau.2c00004" TargetMode="External"/><Relationship Id="rId317" Type="http://schemas.openxmlformats.org/officeDocument/2006/relationships/hyperlink" Target="https://doi.org/10.1021/acsmacrolett.4c00675" TargetMode="External"/><Relationship Id="rId359" Type="http://schemas.openxmlformats.org/officeDocument/2006/relationships/hyperlink" Target="https://doi.org/10.1021/acs.macromol.5b01426" TargetMode="External"/><Relationship Id="rId98" Type="http://schemas.openxmlformats.org/officeDocument/2006/relationships/hyperlink" Target="https://doi.org/10.1021/acspolymersau.2c00030" TargetMode="External"/><Relationship Id="rId121" Type="http://schemas.openxmlformats.org/officeDocument/2006/relationships/hyperlink" Target="https://doi.org/10.1021/acspolymersau.2c00060" TargetMode="External"/><Relationship Id="rId163" Type="http://schemas.openxmlformats.org/officeDocument/2006/relationships/hyperlink" Target="https://doi.org/10.1021/acspolymersau.3c00026" TargetMode="External"/><Relationship Id="rId219" Type="http://schemas.openxmlformats.org/officeDocument/2006/relationships/hyperlink" Target="https://doi.org/10.1021/acsmacrolett.0c00241" TargetMode="External"/><Relationship Id="rId370" Type="http://schemas.openxmlformats.org/officeDocument/2006/relationships/hyperlink" Target="https://doi.org/10.1021/acs.macromol.5b02602" TargetMode="External"/><Relationship Id="rId230" Type="http://schemas.openxmlformats.org/officeDocument/2006/relationships/hyperlink" Target="https://doi.org/10.1021/acsmacrolett.1c00564" TargetMode="External"/><Relationship Id="rId25" Type="http://schemas.openxmlformats.org/officeDocument/2006/relationships/hyperlink" Target="https://doi.org/10.1021/acspolymersau.1c00028" TargetMode="External"/><Relationship Id="rId67" Type="http://schemas.openxmlformats.org/officeDocument/2006/relationships/hyperlink" Target="https://doi.org/10.1021/acspolymersau.2c00026" TargetMode="External"/><Relationship Id="rId272" Type="http://schemas.openxmlformats.org/officeDocument/2006/relationships/hyperlink" Target="https://doi.org/10.1021/acsmacrolett.2c00672" TargetMode="External"/><Relationship Id="rId328" Type="http://schemas.openxmlformats.org/officeDocument/2006/relationships/hyperlink" Target="https://doi.org/10.1021/acsmacrolett.4c00463" TargetMode="External"/><Relationship Id="rId132" Type="http://schemas.openxmlformats.org/officeDocument/2006/relationships/hyperlink" Target="https://doi.org/10.1021/acspolymersau.3c00006" TargetMode="External"/><Relationship Id="rId174" Type="http://schemas.openxmlformats.org/officeDocument/2006/relationships/hyperlink" Target="https://doi.org/10.1021/acspolymersau.3c00046" TargetMode="External"/><Relationship Id="rId381" Type="http://schemas.openxmlformats.org/officeDocument/2006/relationships/hyperlink" Target="https://doi.org/10.1021/acs.macromol.6b01563" TargetMode="External"/><Relationship Id="rId241" Type="http://schemas.openxmlformats.org/officeDocument/2006/relationships/hyperlink" Target="https://doi.org/10.1021/acsmacrolett.2c00136" TargetMode="External"/><Relationship Id="rId36" Type="http://schemas.openxmlformats.org/officeDocument/2006/relationships/hyperlink" Target="https://doi.org/10.1021/acspolymersau.1c00029" TargetMode="External"/><Relationship Id="rId283" Type="http://schemas.openxmlformats.org/officeDocument/2006/relationships/hyperlink" Target="https://doi.org/10.1021/acsmacrolett.3c00418" TargetMode="External"/><Relationship Id="rId339" Type="http://schemas.openxmlformats.org/officeDocument/2006/relationships/hyperlink" Target="https://doi.org/10.1021/acsmacrolett.4c00810" TargetMode="External"/><Relationship Id="rId78" Type="http://schemas.openxmlformats.org/officeDocument/2006/relationships/hyperlink" Target="https://doi.org/10.1021/acspolymersau.2c00013" TargetMode="External"/><Relationship Id="rId101" Type="http://schemas.openxmlformats.org/officeDocument/2006/relationships/hyperlink" Target="https://doi.org/10.1021/acspolymersau.2c00030" TargetMode="External"/><Relationship Id="rId143" Type="http://schemas.openxmlformats.org/officeDocument/2006/relationships/hyperlink" Target="https://doi.org/10.1021/acspolymersau.3c00011" TargetMode="External"/><Relationship Id="rId185" Type="http://schemas.openxmlformats.org/officeDocument/2006/relationships/hyperlink" Target="https://doi.org/10.1021/acspolymersau.4c00029" TargetMode="External"/><Relationship Id="rId350" Type="http://schemas.openxmlformats.org/officeDocument/2006/relationships/hyperlink" Target="https://doi.org/10.1021/ma502460t" TargetMode="External"/><Relationship Id="rId406" Type="http://schemas.openxmlformats.org/officeDocument/2006/relationships/hyperlink" Target="https://doi.org/10.1021/acs.macromol.8b00715" TargetMode="External"/><Relationship Id="rId9" Type="http://schemas.openxmlformats.org/officeDocument/2006/relationships/hyperlink" Target="https://doi.org/10.1021/acspolymersau.1c00017" TargetMode="External"/><Relationship Id="rId210" Type="http://schemas.openxmlformats.org/officeDocument/2006/relationships/hyperlink" Target="https://doi.org/10.1021/acsmacrolett.8b00825" TargetMode="External"/><Relationship Id="rId392" Type="http://schemas.openxmlformats.org/officeDocument/2006/relationships/hyperlink" Target="https://doi.org/10.1021/acs.macromol.7b00475" TargetMode="External"/><Relationship Id="rId252" Type="http://schemas.openxmlformats.org/officeDocument/2006/relationships/hyperlink" Target="https://doi.org/10.1021/acsmacrolett.1c00647" TargetMode="External"/><Relationship Id="rId294" Type="http://schemas.openxmlformats.org/officeDocument/2006/relationships/hyperlink" Target="https://doi.org/10.1021/acsmacrolett.3c00217" TargetMode="External"/><Relationship Id="rId308" Type="http://schemas.openxmlformats.org/officeDocument/2006/relationships/hyperlink" Target="https://doi.org/10.1021/acsmacrolett.4c00117" TargetMode="External"/><Relationship Id="rId47" Type="http://schemas.openxmlformats.org/officeDocument/2006/relationships/hyperlink" Target="https://doi.org/10.1021/acspolymersau.1c00042" TargetMode="External"/><Relationship Id="rId89" Type="http://schemas.openxmlformats.org/officeDocument/2006/relationships/hyperlink" Target="https://doi.org/10.1021/acspolymersau.2c00017" TargetMode="External"/><Relationship Id="rId112" Type="http://schemas.openxmlformats.org/officeDocument/2006/relationships/hyperlink" Target="https://doi.org/10.1021/acspolymersau.2c00038" TargetMode="External"/><Relationship Id="rId154" Type="http://schemas.openxmlformats.org/officeDocument/2006/relationships/hyperlink" Target="https://doi.org/10.1021/acspolymersau.3c00017" TargetMode="External"/><Relationship Id="rId361" Type="http://schemas.openxmlformats.org/officeDocument/2006/relationships/hyperlink" Target="https://doi.org/10.1021/acs.macromol.5b02212" TargetMode="External"/><Relationship Id="rId196" Type="http://schemas.openxmlformats.org/officeDocument/2006/relationships/hyperlink" Target="https://doi.org/10.1021/acspolymersau.4c00095" TargetMode="External"/><Relationship Id="rId16" Type="http://schemas.openxmlformats.org/officeDocument/2006/relationships/hyperlink" Target="https://doi.org/10.1021/acspolymersau.1c00030" TargetMode="External"/><Relationship Id="rId221" Type="http://schemas.openxmlformats.org/officeDocument/2006/relationships/hyperlink" Target="https://doi.org/10.1021/acsmacrolett.9b01023" TargetMode="External"/><Relationship Id="rId263" Type="http://schemas.openxmlformats.org/officeDocument/2006/relationships/hyperlink" Target="https://doi.org/10.1021/acsmacrolett.3c00055" TargetMode="External"/><Relationship Id="rId319" Type="http://schemas.openxmlformats.org/officeDocument/2006/relationships/hyperlink" Target="https://doi.org/10.1021/acsmacrolett.4c00675" TargetMode="External"/><Relationship Id="rId58" Type="http://schemas.openxmlformats.org/officeDocument/2006/relationships/hyperlink" Target="https://doi.org/10.1021/acspolymersau.2c00001" TargetMode="External"/><Relationship Id="rId123" Type="http://schemas.openxmlformats.org/officeDocument/2006/relationships/hyperlink" Target="https://doi.org/10.1021/acspolymersau.2c00066" TargetMode="External"/><Relationship Id="rId330" Type="http://schemas.openxmlformats.org/officeDocument/2006/relationships/hyperlink" Target="https://doi.org/10.1021/acsmacrolett.4c00404" TargetMode="External"/><Relationship Id="rId165" Type="http://schemas.openxmlformats.org/officeDocument/2006/relationships/hyperlink" Target="https://doi.org/10.1021/acspolymersau.3c00043" TargetMode="External"/><Relationship Id="rId372" Type="http://schemas.openxmlformats.org/officeDocument/2006/relationships/hyperlink" Target="https://doi.org/10.1021/acs.macromol.5b02710" TargetMode="External"/><Relationship Id="rId232" Type="http://schemas.openxmlformats.org/officeDocument/2006/relationships/hyperlink" Target="https://doi.org/10.1021/acsmacrolett.1c00457" TargetMode="External"/><Relationship Id="rId274" Type="http://schemas.openxmlformats.org/officeDocument/2006/relationships/hyperlink" Target="https://doi.org/10.1021/acsmacrolett.2c00506" TargetMode="External"/><Relationship Id="rId27" Type="http://schemas.openxmlformats.org/officeDocument/2006/relationships/hyperlink" Target="https://doi.org/10.1021/acspolymersau.1c00028" TargetMode="External"/><Relationship Id="rId69" Type="http://schemas.openxmlformats.org/officeDocument/2006/relationships/hyperlink" Target="https://doi.org/10.1021/acspolymersau.2c00013" TargetMode="External"/><Relationship Id="rId134" Type="http://schemas.openxmlformats.org/officeDocument/2006/relationships/hyperlink" Target="https://doi.org/10.1021/acspolymersau.3c00004" TargetMode="External"/><Relationship Id="rId80" Type="http://schemas.openxmlformats.org/officeDocument/2006/relationships/hyperlink" Target="https://doi.org/10.1021/acspolymersau.2c00013" TargetMode="External"/><Relationship Id="rId155" Type="http://schemas.openxmlformats.org/officeDocument/2006/relationships/hyperlink" Target="https://doi.org/10.1021/acspolymersau.3c00017" TargetMode="External"/><Relationship Id="rId176" Type="http://schemas.openxmlformats.org/officeDocument/2006/relationships/hyperlink" Target="https://doi.org/10.1021/acspolymersau.3c00047" TargetMode="External"/><Relationship Id="rId197" Type="http://schemas.openxmlformats.org/officeDocument/2006/relationships/hyperlink" Target="https://doi.org/10.1021/acspolymersau.4c00079" TargetMode="External"/><Relationship Id="rId341" Type="http://schemas.openxmlformats.org/officeDocument/2006/relationships/hyperlink" Target="https://doi.org/10.1021/acsmacrolett.4c00839" TargetMode="External"/><Relationship Id="rId362" Type="http://schemas.openxmlformats.org/officeDocument/2006/relationships/hyperlink" Target="https://doi.org/10.1021/acs.macromol.5b02119" TargetMode="External"/><Relationship Id="rId383" Type="http://schemas.openxmlformats.org/officeDocument/2006/relationships/hyperlink" Target="https://doi.org/10.1021/acs.macromol.6b01963" TargetMode="External"/><Relationship Id="rId201" Type="http://schemas.openxmlformats.org/officeDocument/2006/relationships/hyperlink" Target="https://doi.org/10.1021/acspolymersau.4c00101" TargetMode="External"/><Relationship Id="rId222" Type="http://schemas.openxmlformats.org/officeDocument/2006/relationships/hyperlink" Target="https://doi.org/10.1021/acsmacrolett.9b00814" TargetMode="External"/><Relationship Id="rId243" Type="http://schemas.openxmlformats.org/officeDocument/2006/relationships/hyperlink" Target="https://doi.org/10.1021/acsmacrolett.1c00776" TargetMode="External"/><Relationship Id="rId264" Type="http://schemas.openxmlformats.org/officeDocument/2006/relationships/hyperlink" Target="https://doi.org/10.1021/acsmacrolett.2c00737" TargetMode="External"/><Relationship Id="rId285" Type="http://schemas.openxmlformats.org/officeDocument/2006/relationships/hyperlink" Target="https://doi.org/10.1021/acsmacrolett.3c00389" TargetMode="External"/><Relationship Id="rId17" Type="http://schemas.openxmlformats.org/officeDocument/2006/relationships/hyperlink" Target="https://doi.org/10.1021/acspolymersau.1c00030" TargetMode="External"/><Relationship Id="rId38" Type="http://schemas.openxmlformats.org/officeDocument/2006/relationships/hyperlink" Target="https://doi.org/10.1021/acspolymersau.1c00041" TargetMode="External"/><Relationship Id="rId59" Type="http://schemas.openxmlformats.org/officeDocument/2006/relationships/hyperlink" Target="https://doi.org/10.1021/acspolymersau.2c00001" TargetMode="External"/><Relationship Id="rId103" Type="http://schemas.openxmlformats.org/officeDocument/2006/relationships/hyperlink" Target="https://doi.org/10.1021/acspolymersau.2c00030" TargetMode="External"/><Relationship Id="rId124" Type="http://schemas.openxmlformats.org/officeDocument/2006/relationships/hyperlink" Target="https://doi.org/10.1021/acspolymersau.2c00069" TargetMode="External"/><Relationship Id="rId310" Type="http://schemas.openxmlformats.org/officeDocument/2006/relationships/hyperlink" Target="https://doi.org/10.1021/acsmacrolett.4c00101" TargetMode="External"/><Relationship Id="rId70" Type="http://schemas.openxmlformats.org/officeDocument/2006/relationships/hyperlink" Target="https://doi.org/10.1021/acspolymersau.2c00013" TargetMode="External"/><Relationship Id="rId91" Type="http://schemas.openxmlformats.org/officeDocument/2006/relationships/hyperlink" Target="https://doi.org/10.1021/acspolymersau.2c00023" TargetMode="External"/><Relationship Id="rId145" Type="http://schemas.openxmlformats.org/officeDocument/2006/relationships/hyperlink" Target="https://doi.org/10.1021/acspolymersau.3c00011" TargetMode="External"/><Relationship Id="rId166" Type="http://schemas.openxmlformats.org/officeDocument/2006/relationships/hyperlink" Target="https://doi.org/10.1021/acspolymersau.3c00043" TargetMode="External"/><Relationship Id="rId187" Type="http://schemas.openxmlformats.org/officeDocument/2006/relationships/hyperlink" Target="https://doi.org/10.1021/acspolymersau.4c00013" TargetMode="External"/><Relationship Id="rId331" Type="http://schemas.openxmlformats.org/officeDocument/2006/relationships/hyperlink" Target="https://doi.org/10.1021/acsmacrolett.5c00171" TargetMode="External"/><Relationship Id="rId352" Type="http://schemas.openxmlformats.org/officeDocument/2006/relationships/hyperlink" Target="https://doi.org/10.1021/ma502542g" TargetMode="External"/><Relationship Id="rId373" Type="http://schemas.openxmlformats.org/officeDocument/2006/relationships/hyperlink" Target="https://doi.org/10.1021/acs.macromol.5b02710" TargetMode="External"/><Relationship Id="rId394" Type="http://schemas.openxmlformats.org/officeDocument/2006/relationships/hyperlink" Target="https://doi.org/10.1021/acs.macromol.7b01769" TargetMode="External"/><Relationship Id="rId408" Type="http://schemas.openxmlformats.org/officeDocument/2006/relationships/hyperlink" Target="https://doi.org/10.1021/acs.macromol.7b02610" TargetMode="External"/><Relationship Id="rId1" Type="http://schemas.openxmlformats.org/officeDocument/2006/relationships/hyperlink" Target="https://doi.org/10.1021/acspolymersau.1c00012" TargetMode="External"/><Relationship Id="rId212" Type="http://schemas.openxmlformats.org/officeDocument/2006/relationships/hyperlink" Target="https://doi.org/10.1021/acsmacrolett.8b00675" TargetMode="External"/><Relationship Id="rId233" Type="http://schemas.openxmlformats.org/officeDocument/2006/relationships/hyperlink" Target="https://doi.org/10.1021/acsmacrolett.1c00142" TargetMode="External"/><Relationship Id="rId254" Type="http://schemas.openxmlformats.org/officeDocument/2006/relationships/hyperlink" Target="https://doi.org/10.1021/acsmacrolett.1c00686" TargetMode="External"/><Relationship Id="rId28" Type="http://schemas.openxmlformats.org/officeDocument/2006/relationships/hyperlink" Target="https://doi.org/10.1021/acspolymersau.1c00028" TargetMode="External"/><Relationship Id="rId49" Type="http://schemas.openxmlformats.org/officeDocument/2006/relationships/hyperlink" Target="https://doi.org/10.1021/acspolymersau.1c00053" TargetMode="External"/><Relationship Id="rId114" Type="http://schemas.openxmlformats.org/officeDocument/2006/relationships/hyperlink" Target="https://doi.org/10.1021/acspolymersau.2c00044" TargetMode="External"/><Relationship Id="rId275" Type="http://schemas.openxmlformats.org/officeDocument/2006/relationships/hyperlink" Target="https://doi.org/10.1021/acsmacrolett.2c00455" TargetMode="External"/><Relationship Id="rId296" Type="http://schemas.openxmlformats.org/officeDocument/2006/relationships/hyperlink" Target="https://doi.org/10.1021/acsmacrolett.3c00714" TargetMode="External"/><Relationship Id="rId300" Type="http://schemas.openxmlformats.org/officeDocument/2006/relationships/hyperlink" Target="https://doi.org/10.1021/acsmacrolett.3c00397" TargetMode="External"/><Relationship Id="rId60" Type="http://schemas.openxmlformats.org/officeDocument/2006/relationships/hyperlink" Target="https://doi.org/10.1021/acspolymersau.2c00001" TargetMode="External"/><Relationship Id="rId81" Type="http://schemas.openxmlformats.org/officeDocument/2006/relationships/hyperlink" Target="https://doi.org/10.1021/acspolymersau.2c00014" TargetMode="External"/><Relationship Id="rId135" Type="http://schemas.openxmlformats.org/officeDocument/2006/relationships/hyperlink" Target="https://doi.org/10.1021/acspolymersau.3c00004" TargetMode="External"/><Relationship Id="rId156" Type="http://schemas.openxmlformats.org/officeDocument/2006/relationships/hyperlink" Target="https://doi.org/10.1021/acspolymersau.3c00017" TargetMode="External"/><Relationship Id="rId177" Type="http://schemas.openxmlformats.org/officeDocument/2006/relationships/hyperlink" Target="https://doi.org/10.1021/acspolymersau.3c00048" TargetMode="External"/><Relationship Id="rId198" Type="http://schemas.openxmlformats.org/officeDocument/2006/relationships/hyperlink" Target="https://doi.org/10.1021/acspolymersau.4c00089" TargetMode="External"/><Relationship Id="rId321" Type="http://schemas.openxmlformats.org/officeDocument/2006/relationships/hyperlink" Target="https://doi.org/10.1021/acsmacrolett.4c00556" TargetMode="External"/><Relationship Id="rId342" Type="http://schemas.openxmlformats.org/officeDocument/2006/relationships/hyperlink" Target="https://doi.org/10.1021/acsmacrolett.4c00839" TargetMode="External"/><Relationship Id="rId363" Type="http://schemas.openxmlformats.org/officeDocument/2006/relationships/hyperlink" Target="https://doi.org/10.1021/acs.macromol.5b02385" TargetMode="External"/><Relationship Id="rId384" Type="http://schemas.openxmlformats.org/officeDocument/2006/relationships/hyperlink" Target="https://doi.org/10.1021/acs.macromol.6b01963" TargetMode="External"/><Relationship Id="rId202" Type="http://schemas.openxmlformats.org/officeDocument/2006/relationships/hyperlink" Target="https://doi.org/10.1021/acspolymersau.5c00016" TargetMode="External"/><Relationship Id="rId223" Type="http://schemas.openxmlformats.org/officeDocument/2006/relationships/hyperlink" Target="https://doi.org/10.1021/acsmacrolett.9b00792" TargetMode="External"/><Relationship Id="rId244" Type="http://schemas.openxmlformats.org/officeDocument/2006/relationships/hyperlink" Target="https://doi.org/10.1021/acsmacrolett.1c00776" TargetMode="External"/><Relationship Id="rId18" Type="http://schemas.openxmlformats.org/officeDocument/2006/relationships/hyperlink" Target="https://doi.org/10.1021/acspolymersau.1c00030" TargetMode="External"/><Relationship Id="rId39" Type="http://schemas.openxmlformats.org/officeDocument/2006/relationships/hyperlink" Target="https://doi.org/10.1021/acspolymersau.1c00036" TargetMode="External"/><Relationship Id="rId265" Type="http://schemas.openxmlformats.org/officeDocument/2006/relationships/hyperlink" Target="https://doi.org/10.1021/acsmacrolett.2c00737" TargetMode="External"/><Relationship Id="rId286" Type="http://schemas.openxmlformats.org/officeDocument/2006/relationships/hyperlink" Target="https://doi.org/10.1021/acsmacrolett.3c00276" TargetMode="External"/><Relationship Id="rId50" Type="http://schemas.openxmlformats.org/officeDocument/2006/relationships/hyperlink" Target="https://doi.org/10.1021/acspolymersau.1c00053" TargetMode="External"/><Relationship Id="rId104" Type="http://schemas.openxmlformats.org/officeDocument/2006/relationships/hyperlink" Target="https://doi.org/10.1021/acspolymersau.2c00027" TargetMode="External"/><Relationship Id="rId125" Type="http://schemas.openxmlformats.org/officeDocument/2006/relationships/hyperlink" Target="https://doi.org/10.1021/acspolymersau.3c00003" TargetMode="External"/><Relationship Id="rId146" Type="http://schemas.openxmlformats.org/officeDocument/2006/relationships/hyperlink" Target="https://doi.org/10.1021/acspolymersau.3c00011" TargetMode="External"/><Relationship Id="rId167" Type="http://schemas.openxmlformats.org/officeDocument/2006/relationships/hyperlink" Target="https://doi.org/10.1021/acspolymersau.3c00043" TargetMode="External"/><Relationship Id="rId188" Type="http://schemas.openxmlformats.org/officeDocument/2006/relationships/hyperlink" Target="https://doi.org/10.1021/acspolymersau.4c00013" TargetMode="External"/><Relationship Id="rId311" Type="http://schemas.openxmlformats.org/officeDocument/2006/relationships/hyperlink" Target="https://doi.org/10.1021/acsmacrolett.4c00101" TargetMode="External"/><Relationship Id="rId332" Type="http://schemas.openxmlformats.org/officeDocument/2006/relationships/hyperlink" Target="https://doi.org/10.1021/acsmacrolett.5c00205" TargetMode="External"/><Relationship Id="rId353" Type="http://schemas.openxmlformats.org/officeDocument/2006/relationships/hyperlink" Target="https://doi.org/10.1021/acs.macromol.5b00435" TargetMode="External"/><Relationship Id="rId374" Type="http://schemas.openxmlformats.org/officeDocument/2006/relationships/hyperlink" Target="https://doi.org/10.1021/acs.macromol.5b02710" TargetMode="External"/><Relationship Id="rId395" Type="http://schemas.openxmlformats.org/officeDocument/2006/relationships/hyperlink" Target="https://doi.org/10.1021/acs.macromol.7b01475" TargetMode="External"/><Relationship Id="rId409" Type="http://schemas.openxmlformats.org/officeDocument/2006/relationships/hyperlink" Target="https://doi.org/10.1021/acs.macromol.8b01224" TargetMode="External"/><Relationship Id="rId71" Type="http://schemas.openxmlformats.org/officeDocument/2006/relationships/hyperlink" Target="https://doi.org/10.1021/acspolymersau.2c00013" TargetMode="External"/><Relationship Id="rId92" Type="http://schemas.openxmlformats.org/officeDocument/2006/relationships/hyperlink" Target="https://doi.org/10.1021/acspolymersau.2c00036" TargetMode="External"/><Relationship Id="rId213" Type="http://schemas.openxmlformats.org/officeDocument/2006/relationships/hyperlink" Target="https://doi.org/10.1021/acsmacrolett.8b00168" TargetMode="External"/><Relationship Id="rId234" Type="http://schemas.openxmlformats.org/officeDocument/2006/relationships/hyperlink" Target="https://doi.org/10.1021/acsmacrolett.0c00849" TargetMode="External"/><Relationship Id="rId2" Type="http://schemas.openxmlformats.org/officeDocument/2006/relationships/hyperlink" Target="https://doi.org/10.1021/acspolymersau.1c00005" TargetMode="External"/><Relationship Id="rId29" Type="http://schemas.openxmlformats.org/officeDocument/2006/relationships/hyperlink" Target="https://doi.org/10.1021/acspolymersau.1c00028" TargetMode="External"/><Relationship Id="rId255" Type="http://schemas.openxmlformats.org/officeDocument/2006/relationships/hyperlink" Target="https://doi.org/10.1021/acsmacrolett.1c00686" TargetMode="External"/><Relationship Id="rId276" Type="http://schemas.openxmlformats.org/officeDocument/2006/relationships/hyperlink" Target="https://doi.org/10.1021/acsmacrolett.2c00359" TargetMode="External"/><Relationship Id="rId297" Type="http://schemas.openxmlformats.org/officeDocument/2006/relationships/hyperlink" Target="https://doi.org/10.1021/acsmacrolett.3c00714" TargetMode="External"/><Relationship Id="rId40" Type="http://schemas.openxmlformats.org/officeDocument/2006/relationships/hyperlink" Target="https://doi.org/10.1021/acspolymersau.1c00036" TargetMode="External"/><Relationship Id="rId115" Type="http://schemas.openxmlformats.org/officeDocument/2006/relationships/hyperlink" Target="https://doi.org/10.1021/acspolymersau.2c00047" TargetMode="External"/><Relationship Id="rId136" Type="http://schemas.openxmlformats.org/officeDocument/2006/relationships/hyperlink" Target="https://doi.org/10.1021/acspolymersau.3c00004" TargetMode="External"/><Relationship Id="rId157" Type="http://schemas.openxmlformats.org/officeDocument/2006/relationships/hyperlink" Target="https://doi.org/10.1021/acspolymersau.3c00017" TargetMode="External"/><Relationship Id="rId178" Type="http://schemas.openxmlformats.org/officeDocument/2006/relationships/hyperlink" Target="https://doi.org/10.1021/acspolymersau.3c00052" TargetMode="External"/><Relationship Id="rId301" Type="http://schemas.openxmlformats.org/officeDocument/2006/relationships/hyperlink" Target="https://doi.org/10.1021/acsmacrolett.3c00481" TargetMode="External"/><Relationship Id="rId322" Type="http://schemas.openxmlformats.org/officeDocument/2006/relationships/hyperlink" Target="https://doi.org/10.1021/acsmacrolett.4c00556" TargetMode="External"/><Relationship Id="rId343" Type="http://schemas.openxmlformats.org/officeDocument/2006/relationships/hyperlink" Target="https://doi.org/10.1021/acsmacrolett.4c00839" TargetMode="External"/><Relationship Id="rId364" Type="http://schemas.openxmlformats.org/officeDocument/2006/relationships/hyperlink" Target="https://doi.org/10.1021/acs.macromol.5b02385" TargetMode="External"/><Relationship Id="rId61" Type="http://schemas.openxmlformats.org/officeDocument/2006/relationships/hyperlink" Target="https://doi.org/10.1021/acspolymersau.2c00005" TargetMode="External"/><Relationship Id="rId82" Type="http://schemas.openxmlformats.org/officeDocument/2006/relationships/hyperlink" Target="https://doi.org/10.1021/acspolymersau.2c00019" TargetMode="External"/><Relationship Id="rId199" Type="http://schemas.openxmlformats.org/officeDocument/2006/relationships/hyperlink" Target="https://doi.org/10.1021/acspolymersau.4c00096" TargetMode="External"/><Relationship Id="rId203" Type="http://schemas.openxmlformats.org/officeDocument/2006/relationships/hyperlink" Target="https://doi.org/10.1021/acspolymersau.5c00016" TargetMode="External"/><Relationship Id="rId385" Type="http://schemas.openxmlformats.org/officeDocument/2006/relationships/hyperlink" Target="https://doi.org/10.1021/acs.macromol.6b02309" TargetMode="External"/><Relationship Id="rId19" Type="http://schemas.openxmlformats.org/officeDocument/2006/relationships/hyperlink" Target="https://doi.org/10.1021/acspolymersau.1c00028" TargetMode="External"/><Relationship Id="rId224" Type="http://schemas.openxmlformats.org/officeDocument/2006/relationships/hyperlink" Target="https://doi.org/10.1021/acsmacrolett.9b00792" TargetMode="External"/><Relationship Id="rId245" Type="http://schemas.openxmlformats.org/officeDocument/2006/relationships/hyperlink" Target="https://doi.org/10.1021/acsmacrolett.1c00776" TargetMode="External"/><Relationship Id="rId266" Type="http://schemas.openxmlformats.org/officeDocument/2006/relationships/hyperlink" Target="https://doi.org/10.1021/acsmacrolett.3c00021" TargetMode="External"/><Relationship Id="rId287" Type="http://schemas.openxmlformats.org/officeDocument/2006/relationships/hyperlink" Target="https://doi.org/10.1021/acsmacrolett.3c00276" TargetMode="External"/><Relationship Id="rId410" Type="http://schemas.openxmlformats.org/officeDocument/2006/relationships/hyperlink" Target="https://doi.org/10.1021/acs.macromol.8b01224" TargetMode="External"/><Relationship Id="rId30" Type="http://schemas.openxmlformats.org/officeDocument/2006/relationships/hyperlink" Target="https://doi.org/10.1021/acspolymersau.1c00034" TargetMode="External"/><Relationship Id="rId105" Type="http://schemas.openxmlformats.org/officeDocument/2006/relationships/hyperlink" Target="https://doi.org/10.1021/acspolymersau.2c00034" TargetMode="External"/><Relationship Id="rId126" Type="http://schemas.openxmlformats.org/officeDocument/2006/relationships/hyperlink" Target="https://doi.org/10.1021/acspolymersau.3c00003" TargetMode="External"/><Relationship Id="rId147" Type="http://schemas.openxmlformats.org/officeDocument/2006/relationships/hyperlink" Target="https://doi.org/10.1021/acspolymersau.3c00010" TargetMode="External"/><Relationship Id="rId168" Type="http://schemas.openxmlformats.org/officeDocument/2006/relationships/hyperlink" Target="https://doi.org/10.1021/acspolymersau.3c00029" TargetMode="External"/><Relationship Id="rId312" Type="http://schemas.openxmlformats.org/officeDocument/2006/relationships/hyperlink" Target="https://doi.org/10.1021/acsmacrolett.4c00101" TargetMode="External"/><Relationship Id="rId333" Type="http://schemas.openxmlformats.org/officeDocument/2006/relationships/hyperlink" Target="https://doi.org/10.1021/acsmacrolett.5c00165" TargetMode="External"/><Relationship Id="rId354" Type="http://schemas.openxmlformats.org/officeDocument/2006/relationships/hyperlink" Target="https://doi.org/10.1021/acs.macromol.5b01293" TargetMode="External"/><Relationship Id="rId51" Type="http://schemas.openxmlformats.org/officeDocument/2006/relationships/hyperlink" Target="https://doi.org/10.1021/acspolymersau.1c00053" TargetMode="External"/><Relationship Id="rId72" Type="http://schemas.openxmlformats.org/officeDocument/2006/relationships/hyperlink" Target="https://doi.org/10.1021/acspolymersau.2c00013" TargetMode="External"/><Relationship Id="rId93" Type="http://schemas.openxmlformats.org/officeDocument/2006/relationships/hyperlink" Target="https://doi.org/10.1021/acspolymersau.2c00036" TargetMode="External"/><Relationship Id="rId189" Type="http://schemas.openxmlformats.org/officeDocument/2006/relationships/hyperlink" Target="https://doi.org/10.1021/acspolymersau.4c00048" TargetMode="External"/><Relationship Id="rId375" Type="http://schemas.openxmlformats.org/officeDocument/2006/relationships/hyperlink" Target="https://doi.org/10.1021/acs.macromol.5b02594" TargetMode="External"/><Relationship Id="rId396" Type="http://schemas.openxmlformats.org/officeDocument/2006/relationships/hyperlink" Target="https://doi.org/10.1021/acs.macromol.7b02136" TargetMode="External"/><Relationship Id="rId3" Type="http://schemas.openxmlformats.org/officeDocument/2006/relationships/hyperlink" Target="https://doi.org/10.1021/acspolymersau.1c00005" TargetMode="External"/><Relationship Id="rId214" Type="http://schemas.openxmlformats.org/officeDocument/2006/relationships/hyperlink" Target="https://doi.org/10.1021/acsmacrolett.7b00891" TargetMode="External"/><Relationship Id="rId235" Type="http://schemas.openxmlformats.org/officeDocument/2006/relationships/hyperlink" Target="https://doi.org/10.1021/acsmacrolett.0c00784" TargetMode="External"/><Relationship Id="rId256" Type="http://schemas.openxmlformats.org/officeDocument/2006/relationships/hyperlink" Target="https://doi.org/10.1021/acsmacrolett.1c00676" TargetMode="External"/><Relationship Id="rId277" Type="http://schemas.openxmlformats.org/officeDocument/2006/relationships/hyperlink" Target="https://doi.org/10.1021/acsmacrolett.2c00302" TargetMode="External"/><Relationship Id="rId298" Type="http://schemas.openxmlformats.org/officeDocument/2006/relationships/hyperlink" Target="https://doi.org/10.1021/acsmacrolett.3c00714" TargetMode="External"/><Relationship Id="rId400" Type="http://schemas.openxmlformats.org/officeDocument/2006/relationships/hyperlink" Target="https://doi.org/10.1021/acs.macromol.7b02457" TargetMode="External"/><Relationship Id="rId116" Type="http://schemas.openxmlformats.org/officeDocument/2006/relationships/hyperlink" Target="https://doi.org/10.1021/acspolymersau.2c00047" TargetMode="External"/><Relationship Id="rId137" Type="http://schemas.openxmlformats.org/officeDocument/2006/relationships/hyperlink" Target="https://doi.org/10.1021/acspolymersau.3c00012" TargetMode="External"/><Relationship Id="rId158" Type="http://schemas.openxmlformats.org/officeDocument/2006/relationships/hyperlink" Target="https://doi.org/10.1021/acspolymersau.3c00017" TargetMode="External"/><Relationship Id="rId302" Type="http://schemas.openxmlformats.org/officeDocument/2006/relationships/hyperlink" Target="https://doi.org/10.1021/acsmacrolett.3c00481" TargetMode="External"/><Relationship Id="rId323" Type="http://schemas.openxmlformats.org/officeDocument/2006/relationships/hyperlink" Target="https://doi.org/10.1021/acsmacrolett.4c00550" TargetMode="External"/><Relationship Id="rId344" Type="http://schemas.openxmlformats.org/officeDocument/2006/relationships/hyperlink" Target="https://doi.org/10.1021/ma401311s" TargetMode="External"/><Relationship Id="rId20" Type="http://schemas.openxmlformats.org/officeDocument/2006/relationships/hyperlink" Target="https://doi.org/10.1021/acspolymersau.1c00028" TargetMode="External"/><Relationship Id="rId41" Type="http://schemas.openxmlformats.org/officeDocument/2006/relationships/hyperlink" Target="https://doi.org/10.1021/acspolymersau.1c00036" TargetMode="External"/><Relationship Id="rId62" Type="http://schemas.openxmlformats.org/officeDocument/2006/relationships/hyperlink" Target="https://doi.org/10.1021/acspolymersau.2c00005" TargetMode="External"/><Relationship Id="rId83" Type="http://schemas.openxmlformats.org/officeDocument/2006/relationships/hyperlink" Target="https://doi.org/10.1021/acspolymersau.2c00019" TargetMode="External"/><Relationship Id="rId179" Type="http://schemas.openxmlformats.org/officeDocument/2006/relationships/hyperlink" Target="https://doi.org/10.1021/acspolymersau.3c00052" TargetMode="External"/><Relationship Id="rId365" Type="http://schemas.openxmlformats.org/officeDocument/2006/relationships/hyperlink" Target="https://doi.org/10.1021/acs.macromol.5b02152" TargetMode="External"/><Relationship Id="rId386" Type="http://schemas.openxmlformats.org/officeDocument/2006/relationships/hyperlink" Target="https://doi.org/10.1021/acs.macromol.6b02643" TargetMode="External"/><Relationship Id="rId190" Type="http://schemas.openxmlformats.org/officeDocument/2006/relationships/hyperlink" Target="https://doi.org/10.1021/acspolymersau.4c00050" TargetMode="External"/><Relationship Id="rId204" Type="http://schemas.openxmlformats.org/officeDocument/2006/relationships/hyperlink" Target="https://doi.org/10.1021/acspolymersau.4c00099" TargetMode="External"/><Relationship Id="rId225" Type="http://schemas.openxmlformats.org/officeDocument/2006/relationships/hyperlink" Target="https://doi.org/10.1021/acsmacrolett.9b00386" TargetMode="External"/><Relationship Id="rId246" Type="http://schemas.openxmlformats.org/officeDocument/2006/relationships/hyperlink" Target="https://doi.org/10.1021/acsmacrolett.2c00004" TargetMode="External"/><Relationship Id="rId267" Type="http://schemas.openxmlformats.org/officeDocument/2006/relationships/hyperlink" Target="https://doi.org/10.1021/acsmacrolett.2c00699" TargetMode="External"/><Relationship Id="rId288" Type="http://schemas.openxmlformats.org/officeDocument/2006/relationships/hyperlink" Target="https://doi.org/10.1021/acsmacrolett.3c00382" TargetMode="External"/><Relationship Id="rId411" Type="http://schemas.openxmlformats.org/officeDocument/2006/relationships/hyperlink" Target="https://doi.org/10.1021/acs.macromol.8b01077" TargetMode="External"/><Relationship Id="rId106" Type="http://schemas.openxmlformats.org/officeDocument/2006/relationships/hyperlink" Target="https://doi.org/10.1021/acspolymersau.2c00045" TargetMode="External"/><Relationship Id="rId127" Type="http://schemas.openxmlformats.org/officeDocument/2006/relationships/hyperlink" Target="https://doi.org/10.1021/acspolymersau.3c00003" TargetMode="External"/><Relationship Id="rId313" Type="http://schemas.openxmlformats.org/officeDocument/2006/relationships/hyperlink" Target="https://doi.org/10.1021/acsmacrolett.4c00758" TargetMode="External"/><Relationship Id="rId10" Type="http://schemas.openxmlformats.org/officeDocument/2006/relationships/hyperlink" Target="https://doi.org/10.1021/acspolymersau.1c00017" TargetMode="External"/><Relationship Id="rId31" Type="http://schemas.openxmlformats.org/officeDocument/2006/relationships/hyperlink" Target="https://doi.org/10.1021/acspolymersau.1c00024" TargetMode="External"/><Relationship Id="rId52" Type="http://schemas.openxmlformats.org/officeDocument/2006/relationships/hyperlink" Target="https://doi.org/10.1021/acspolymersau.1c00053" TargetMode="External"/><Relationship Id="rId73" Type="http://schemas.openxmlformats.org/officeDocument/2006/relationships/hyperlink" Target="https://doi.org/10.1021/acspolymersau.2c00013" TargetMode="External"/><Relationship Id="rId94" Type="http://schemas.openxmlformats.org/officeDocument/2006/relationships/hyperlink" Target="https://doi.org/10.1021/acspolymersau.2c00036" TargetMode="External"/><Relationship Id="rId148" Type="http://schemas.openxmlformats.org/officeDocument/2006/relationships/hyperlink" Target="https://doi.org/10.1021/acspolymersau.3c00010" TargetMode="External"/><Relationship Id="rId169" Type="http://schemas.openxmlformats.org/officeDocument/2006/relationships/hyperlink" Target="https://doi.org/10.1021/acspolymersau.3c00035" TargetMode="External"/><Relationship Id="rId334" Type="http://schemas.openxmlformats.org/officeDocument/2006/relationships/hyperlink" Target="https://doi.org/10.1021/acsmacrolett.5c00043" TargetMode="External"/><Relationship Id="rId355" Type="http://schemas.openxmlformats.org/officeDocument/2006/relationships/hyperlink" Target="https://doi.org/10.1021/acs.macromol.5b01293" TargetMode="External"/><Relationship Id="rId376" Type="http://schemas.openxmlformats.org/officeDocument/2006/relationships/hyperlink" Target="https://doi.org/10.1021/acs.macromol.6b00422" TargetMode="External"/><Relationship Id="rId397" Type="http://schemas.openxmlformats.org/officeDocument/2006/relationships/hyperlink" Target="https://doi.org/10.1021/acs.macromol.7b02136" TargetMode="External"/><Relationship Id="rId4" Type="http://schemas.openxmlformats.org/officeDocument/2006/relationships/hyperlink" Target="https://doi.org/10.1021/acspolymersau.1c00008" TargetMode="External"/><Relationship Id="rId180" Type="http://schemas.openxmlformats.org/officeDocument/2006/relationships/hyperlink" Target="https://doi.org/10.1021/acspolymersau.3c00052" TargetMode="External"/><Relationship Id="rId215" Type="http://schemas.openxmlformats.org/officeDocument/2006/relationships/hyperlink" Target="https://doi.org/10.1021/acsmacrolett.8b00168" TargetMode="External"/><Relationship Id="rId236" Type="http://schemas.openxmlformats.org/officeDocument/2006/relationships/hyperlink" Target="https://doi.org/10.1021/acsmacrolett.0c00645" TargetMode="External"/><Relationship Id="rId257" Type="http://schemas.openxmlformats.org/officeDocument/2006/relationships/hyperlink" Target="https://doi.org/10.1021/acsmacrolett.1c00676" TargetMode="External"/><Relationship Id="rId278" Type="http://schemas.openxmlformats.org/officeDocument/2006/relationships/hyperlink" Target="https://doi.org/10.1021/acsmacrolett.2c00302" TargetMode="External"/><Relationship Id="rId401" Type="http://schemas.openxmlformats.org/officeDocument/2006/relationships/hyperlink" Target="https://doi.org/10.1021/acs.macromol.7b02288" TargetMode="External"/><Relationship Id="rId303" Type="http://schemas.openxmlformats.org/officeDocument/2006/relationships/hyperlink" Target="https://doi.org/10.1021/acsmacrolett.4c00400" TargetMode="External"/><Relationship Id="rId42" Type="http://schemas.openxmlformats.org/officeDocument/2006/relationships/hyperlink" Target="https://doi.org/10.1021/acspolymersau.1c00052" TargetMode="External"/><Relationship Id="rId84" Type="http://schemas.openxmlformats.org/officeDocument/2006/relationships/hyperlink" Target="https://doi.org/10.1021/acspolymersau.2c00017" TargetMode="External"/><Relationship Id="rId138" Type="http://schemas.openxmlformats.org/officeDocument/2006/relationships/hyperlink" Target="https://doi.org/10.1021/acspolymersau.3c00012" TargetMode="External"/><Relationship Id="rId345" Type="http://schemas.openxmlformats.org/officeDocument/2006/relationships/hyperlink" Target="https://doi.org/10.1021/ma402069b" TargetMode="External"/><Relationship Id="rId387" Type="http://schemas.openxmlformats.org/officeDocument/2006/relationships/hyperlink" Target="https://doi.org/10.1021/acs.macromol.6b02643" TargetMode="External"/><Relationship Id="rId191" Type="http://schemas.openxmlformats.org/officeDocument/2006/relationships/hyperlink" Target="https://doi.org/10.1021/acspolymersau.4c00059" TargetMode="External"/><Relationship Id="rId205" Type="http://schemas.openxmlformats.org/officeDocument/2006/relationships/hyperlink" Target="https://doi.org/10.1021/acspolymersau.5c00009" TargetMode="External"/><Relationship Id="rId247" Type="http://schemas.openxmlformats.org/officeDocument/2006/relationships/hyperlink" Target="https://doi.org/10.1021/acsmacrolett.1c00716" TargetMode="External"/><Relationship Id="rId412" Type="http://schemas.openxmlformats.org/officeDocument/2006/relationships/hyperlink" Target="https://doi.org/10.1021/acs.macromol.8b01077" TargetMode="External"/><Relationship Id="rId107" Type="http://schemas.openxmlformats.org/officeDocument/2006/relationships/hyperlink" Target="https://doi.org/10.1021/acspolymersau.2c00045" TargetMode="External"/><Relationship Id="rId289" Type="http://schemas.openxmlformats.org/officeDocument/2006/relationships/hyperlink" Target="https://doi.org/10.1021/acsmacrolett.3c00382" TargetMode="External"/><Relationship Id="rId11" Type="http://schemas.openxmlformats.org/officeDocument/2006/relationships/hyperlink" Target="https://doi.org/10.1021/acspolymersau.1c00021" TargetMode="External"/><Relationship Id="rId53" Type="http://schemas.openxmlformats.org/officeDocument/2006/relationships/hyperlink" Target="https://doi.org/10.1021/acspolymersau.1c00054" TargetMode="External"/><Relationship Id="rId149" Type="http://schemas.openxmlformats.org/officeDocument/2006/relationships/hyperlink" Target="https://doi.org/10.1021/acspolymersau.3c00028" TargetMode="External"/><Relationship Id="rId314" Type="http://schemas.openxmlformats.org/officeDocument/2006/relationships/hyperlink" Target="https://doi.org/10.1021/acsmacrolett.4c00665" TargetMode="External"/><Relationship Id="rId356" Type="http://schemas.openxmlformats.org/officeDocument/2006/relationships/hyperlink" Target="https://doi.org/10.1021/acs.macromol.5b01293" TargetMode="External"/><Relationship Id="rId398" Type="http://schemas.openxmlformats.org/officeDocument/2006/relationships/hyperlink" Target="https://doi.org/10.1021/acs.macromol.7b01832" TargetMode="External"/><Relationship Id="rId95" Type="http://schemas.openxmlformats.org/officeDocument/2006/relationships/hyperlink" Target="https://doi.org/10.1021/acspolymersau.2c00028" TargetMode="External"/><Relationship Id="rId160" Type="http://schemas.openxmlformats.org/officeDocument/2006/relationships/hyperlink" Target="https://doi.org/10.1021/acspolymersau.3c00022" TargetMode="External"/><Relationship Id="rId216" Type="http://schemas.openxmlformats.org/officeDocument/2006/relationships/hyperlink" Target="https://doi.org/10.1021/acsmacrolett.7b00905" TargetMode="External"/><Relationship Id="rId258" Type="http://schemas.openxmlformats.org/officeDocument/2006/relationships/hyperlink" Target="https://doi.org/10.1021/acsmacrolett.1c00682" TargetMode="External"/><Relationship Id="rId22" Type="http://schemas.openxmlformats.org/officeDocument/2006/relationships/hyperlink" Target="https://doi.org/10.1021/acspolymersau.1c00028" TargetMode="External"/><Relationship Id="rId64" Type="http://schemas.openxmlformats.org/officeDocument/2006/relationships/hyperlink" Target="https://doi.org/10.1021/acspolymersau.2c00005" TargetMode="External"/><Relationship Id="rId118" Type="http://schemas.openxmlformats.org/officeDocument/2006/relationships/hyperlink" Target="https://doi.org/10.1021/acspolymersau.2c00060" TargetMode="External"/><Relationship Id="rId325" Type="http://schemas.openxmlformats.org/officeDocument/2006/relationships/hyperlink" Target="https://doi.org/10.1021/acsmacrolett.4c00461" TargetMode="External"/><Relationship Id="rId367" Type="http://schemas.openxmlformats.org/officeDocument/2006/relationships/hyperlink" Target="https://doi.org/10.1021/acs.macromol.5b02267" TargetMode="External"/><Relationship Id="rId171" Type="http://schemas.openxmlformats.org/officeDocument/2006/relationships/hyperlink" Target="https://doi.org/10.1021/acspolymersau.3c00021" TargetMode="External"/><Relationship Id="rId227" Type="http://schemas.openxmlformats.org/officeDocument/2006/relationships/hyperlink" Target="https://doi.org/10.1021/acsmacrolett.9b00258" TargetMode="External"/><Relationship Id="rId269" Type="http://schemas.openxmlformats.org/officeDocument/2006/relationships/hyperlink" Target="https://doi.org/10.1021/acsmacrolett.2c00701" TargetMode="External"/><Relationship Id="rId33" Type="http://schemas.openxmlformats.org/officeDocument/2006/relationships/hyperlink" Target="https://doi.org/10.1021/acspolymersau.1c00032" TargetMode="External"/><Relationship Id="rId129" Type="http://schemas.openxmlformats.org/officeDocument/2006/relationships/hyperlink" Target="https://doi.org/10.1021/acspolymersau.2c00068" TargetMode="External"/><Relationship Id="rId280" Type="http://schemas.openxmlformats.org/officeDocument/2006/relationships/hyperlink" Target="https://doi.org/10.1021/acsmacrolett.3c00460" TargetMode="External"/><Relationship Id="rId336" Type="http://schemas.openxmlformats.org/officeDocument/2006/relationships/hyperlink" Target="https://doi.org/10.1021/acsmacrolett.5c00065" TargetMode="External"/><Relationship Id="rId75" Type="http://schemas.openxmlformats.org/officeDocument/2006/relationships/hyperlink" Target="https://doi.org/10.1021/acspolymersau.2c00013" TargetMode="External"/><Relationship Id="rId140" Type="http://schemas.openxmlformats.org/officeDocument/2006/relationships/hyperlink" Target="https://doi.org/10.1021/acspolymersau.3c00012" TargetMode="External"/><Relationship Id="rId182" Type="http://schemas.openxmlformats.org/officeDocument/2006/relationships/hyperlink" Target="https://doi.org/10.1021/acspolymersau.4c00009" TargetMode="External"/><Relationship Id="rId378" Type="http://schemas.openxmlformats.org/officeDocument/2006/relationships/hyperlink" Target="https://doi.org/10.1021/acs.macromol.6b00820" TargetMode="External"/><Relationship Id="rId403" Type="http://schemas.openxmlformats.org/officeDocument/2006/relationships/hyperlink" Target="https://doi.org/10.1021/acs.macromol.8b00178" TargetMode="External"/><Relationship Id="rId6" Type="http://schemas.openxmlformats.org/officeDocument/2006/relationships/hyperlink" Target="https://doi.org/10.1021/acspolymersau.1c00010" TargetMode="External"/><Relationship Id="rId238" Type="http://schemas.openxmlformats.org/officeDocument/2006/relationships/hyperlink" Target="https://doi.org/10.1021/acsmacrolett.0c00495" TargetMode="External"/><Relationship Id="rId291" Type="http://schemas.openxmlformats.org/officeDocument/2006/relationships/hyperlink" Target="https://doi.org/10.1021/acsmacrolett.3c00382" TargetMode="External"/><Relationship Id="rId305" Type="http://schemas.openxmlformats.org/officeDocument/2006/relationships/hyperlink" Target="https://doi.org/10.1021/acsmacrolett.4c00204" TargetMode="External"/><Relationship Id="rId347" Type="http://schemas.openxmlformats.org/officeDocument/2006/relationships/hyperlink" Target="https://doi.org/10.1021/ma501140h" TargetMode="External"/><Relationship Id="rId44" Type="http://schemas.openxmlformats.org/officeDocument/2006/relationships/hyperlink" Target="https://doi.org/10.1021/acspolymersau.1c00044" TargetMode="External"/><Relationship Id="rId86" Type="http://schemas.openxmlformats.org/officeDocument/2006/relationships/hyperlink" Target="https://doi.org/10.1021/acspolymersau.2c00017" TargetMode="External"/><Relationship Id="rId151" Type="http://schemas.openxmlformats.org/officeDocument/2006/relationships/hyperlink" Target="https://doi.org/10.1021/acspolymersau.3c00015" TargetMode="External"/><Relationship Id="rId389" Type="http://schemas.openxmlformats.org/officeDocument/2006/relationships/hyperlink" Target="https://doi.org/10.1021/acs.macromol.6b02643" TargetMode="External"/><Relationship Id="rId193" Type="http://schemas.openxmlformats.org/officeDocument/2006/relationships/hyperlink" Target="https://doi.org/10.1021/acspolymersau.4c00073" TargetMode="External"/><Relationship Id="rId207" Type="http://schemas.openxmlformats.org/officeDocument/2006/relationships/hyperlink" Target="https://doi.org/10.1021/acspolymersau.5c00012" TargetMode="External"/><Relationship Id="rId249" Type="http://schemas.openxmlformats.org/officeDocument/2006/relationships/hyperlink" Target="https://doi.org/10.1021/acsmacrolett.2c00004" TargetMode="External"/><Relationship Id="rId414" Type="http://schemas.openxmlformats.org/officeDocument/2006/relationships/hyperlink" Target="https://doi.org/10.1021/acs.macromol.8b01251" TargetMode="External"/><Relationship Id="rId13" Type="http://schemas.openxmlformats.org/officeDocument/2006/relationships/hyperlink" Target="https://doi.org/10.1021/acspolymersau.1c00027" TargetMode="External"/><Relationship Id="rId109" Type="http://schemas.openxmlformats.org/officeDocument/2006/relationships/hyperlink" Target="https://doi.org/10.1021/acspolymersau.2c00045" TargetMode="External"/><Relationship Id="rId260" Type="http://schemas.openxmlformats.org/officeDocument/2006/relationships/hyperlink" Target="https://doi.org/10.1021/acsmacrolett.1c00628" TargetMode="External"/><Relationship Id="rId316" Type="http://schemas.openxmlformats.org/officeDocument/2006/relationships/hyperlink" Target="https://doi.org/10.1021/acsmacrolett.4c00642" TargetMode="External"/><Relationship Id="rId55" Type="http://schemas.openxmlformats.org/officeDocument/2006/relationships/hyperlink" Target="https://doi.org/10.1021/acspolymersau.1c00057" TargetMode="External"/><Relationship Id="rId97" Type="http://schemas.openxmlformats.org/officeDocument/2006/relationships/hyperlink" Target="https://doi.org/10.1021/acspolymersau.2c00028" TargetMode="External"/><Relationship Id="rId120" Type="http://schemas.openxmlformats.org/officeDocument/2006/relationships/hyperlink" Target="https://doi.org/10.1021/acspolymersau.2c00060" TargetMode="External"/><Relationship Id="rId358" Type="http://schemas.openxmlformats.org/officeDocument/2006/relationships/hyperlink" Target="https://doi.org/10.1021/acs.macromol.5b01293" TargetMode="External"/><Relationship Id="rId162" Type="http://schemas.openxmlformats.org/officeDocument/2006/relationships/hyperlink" Target="https://doi.org/10.1021/acspolymersau.3c00031" TargetMode="External"/><Relationship Id="rId218" Type="http://schemas.openxmlformats.org/officeDocument/2006/relationships/hyperlink" Target="https://doi.org/10.1021/acsmacrolett.0c00175" TargetMode="External"/><Relationship Id="rId271" Type="http://schemas.openxmlformats.org/officeDocument/2006/relationships/hyperlink" Target="https://doi.org/10.1021/acsmacrolett.2c00672" TargetMode="External"/><Relationship Id="rId24" Type="http://schemas.openxmlformats.org/officeDocument/2006/relationships/hyperlink" Target="https://doi.org/10.1021/acspolymersau.1c00028" TargetMode="External"/><Relationship Id="rId66" Type="http://schemas.openxmlformats.org/officeDocument/2006/relationships/hyperlink" Target="https://doi.org/10.1021/acspolymersau.2c00026" TargetMode="External"/><Relationship Id="rId131" Type="http://schemas.openxmlformats.org/officeDocument/2006/relationships/hyperlink" Target="https://doi.org/10.1021/acspolymersau.2c00068" TargetMode="External"/><Relationship Id="rId327" Type="http://schemas.openxmlformats.org/officeDocument/2006/relationships/hyperlink" Target="https://doi.org/10.1021/acsmacrolett.4c00461" TargetMode="External"/><Relationship Id="rId369" Type="http://schemas.openxmlformats.org/officeDocument/2006/relationships/hyperlink" Target="https://doi.org/10.1021/acs.macromol.5b02470" TargetMode="External"/><Relationship Id="rId173" Type="http://schemas.openxmlformats.org/officeDocument/2006/relationships/hyperlink" Target="https://doi.org/10.1021/acspolymersau.3c00033" TargetMode="External"/><Relationship Id="rId229" Type="http://schemas.openxmlformats.org/officeDocument/2006/relationships/hyperlink" Target="https://doi.org/10.1021/acsmacrolett.1c00564" TargetMode="External"/><Relationship Id="rId380" Type="http://schemas.openxmlformats.org/officeDocument/2006/relationships/hyperlink" Target="https://doi.org/10.1021/acs.macromol.6b00820" TargetMode="External"/><Relationship Id="rId240" Type="http://schemas.openxmlformats.org/officeDocument/2006/relationships/hyperlink" Target="https://doi.org/10.1021/acsmacrolett.0c00461" TargetMode="External"/><Relationship Id="rId35" Type="http://schemas.openxmlformats.org/officeDocument/2006/relationships/hyperlink" Target="https://doi.org/10.1021/acspolymersau.1c00032" TargetMode="External"/><Relationship Id="rId77" Type="http://schemas.openxmlformats.org/officeDocument/2006/relationships/hyperlink" Target="https://doi.org/10.1021/acspolymersau.2c00013" TargetMode="External"/><Relationship Id="rId100" Type="http://schemas.openxmlformats.org/officeDocument/2006/relationships/hyperlink" Target="https://doi.org/10.1021/acspolymersau.2c00030" TargetMode="External"/><Relationship Id="rId282" Type="http://schemas.openxmlformats.org/officeDocument/2006/relationships/hyperlink" Target="https://doi.org/10.1021/acsmacrolett.3c00418" TargetMode="External"/><Relationship Id="rId338" Type="http://schemas.openxmlformats.org/officeDocument/2006/relationships/hyperlink" Target="https://doi.org/10.1021/acsmacrolett.5c00053" TargetMode="External"/><Relationship Id="rId8" Type="http://schemas.openxmlformats.org/officeDocument/2006/relationships/hyperlink" Target="https://doi.org/10.1021/acspolymersau.1c00011" TargetMode="External"/><Relationship Id="rId142" Type="http://schemas.openxmlformats.org/officeDocument/2006/relationships/hyperlink" Target="https://doi.org/10.1021/acspolymersau.3c00011" TargetMode="External"/><Relationship Id="rId184" Type="http://schemas.openxmlformats.org/officeDocument/2006/relationships/hyperlink" Target="https://doi.org/10.1021/acspolymersau.4c00029" TargetMode="External"/><Relationship Id="rId391" Type="http://schemas.openxmlformats.org/officeDocument/2006/relationships/hyperlink" Target="https://doi.org/10.1021/acs.macromol.7b00319" TargetMode="External"/><Relationship Id="rId405" Type="http://schemas.openxmlformats.org/officeDocument/2006/relationships/hyperlink" Target="https://doi.org/10.1021/acs.macromol.8b00294" TargetMode="External"/><Relationship Id="rId251" Type="http://schemas.openxmlformats.org/officeDocument/2006/relationships/hyperlink" Target="https://doi.org/10.1021/acsmacrolett.1c00712" TargetMode="External"/><Relationship Id="rId46" Type="http://schemas.openxmlformats.org/officeDocument/2006/relationships/hyperlink" Target="https://doi.org/10.1021/acspolymersau.1c00044" TargetMode="External"/><Relationship Id="rId293" Type="http://schemas.openxmlformats.org/officeDocument/2006/relationships/hyperlink" Target="https://doi.org/10.1021/acsmacrolett.3c00355" TargetMode="External"/><Relationship Id="rId307" Type="http://schemas.openxmlformats.org/officeDocument/2006/relationships/hyperlink" Target="https://doi.org/10.1021/acsmacrolett.4c00313" TargetMode="External"/><Relationship Id="rId349" Type="http://schemas.openxmlformats.org/officeDocument/2006/relationships/hyperlink" Target="https://doi.org/10.1021/ma502460t" TargetMode="External"/><Relationship Id="rId88" Type="http://schemas.openxmlformats.org/officeDocument/2006/relationships/hyperlink" Target="https://doi.org/10.1021/acspolymersau.2c00017" TargetMode="External"/><Relationship Id="rId111" Type="http://schemas.openxmlformats.org/officeDocument/2006/relationships/hyperlink" Target="https://doi.org/10.1021/acspolymersau.2c00035" TargetMode="External"/><Relationship Id="rId153" Type="http://schemas.openxmlformats.org/officeDocument/2006/relationships/hyperlink" Target="https://doi.org/10.1021/acspolymersau.3c00017" TargetMode="External"/><Relationship Id="rId195" Type="http://schemas.openxmlformats.org/officeDocument/2006/relationships/hyperlink" Target="https://doi.org/10.1021/acspolymersau.4c00088" TargetMode="External"/><Relationship Id="rId209" Type="http://schemas.openxmlformats.org/officeDocument/2006/relationships/hyperlink" Target="https://doi.org/10.1021/acsmacrolett.7b00723" TargetMode="External"/><Relationship Id="rId360" Type="http://schemas.openxmlformats.org/officeDocument/2006/relationships/hyperlink" Target="https://doi.org/10.1021/acs.macromol.5b02119" TargetMode="External"/><Relationship Id="rId220" Type="http://schemas.openxmlformats.org/officeDocument/2006/relationships/hyperlink" Target="https://doi.org/10.1021/acsmacrolett.0c00044" TargetMode="External"/><Relationship Id="rId15" Type="http://schemas.openxmlformats.org/officeDocument/2006/relationships/hyperlink" Target="https://doi.org/10.1021/acspolymersau.1c00030" TargetMode="External"/><Relationship Id="rId57" Type="http://schemas.openxmlformats.org/officeDocument/2006/relationships/hyperlink" Target="https://doi.org/10.1021/acspolymersau.2c00001" TargetMode="External"/><Relationship Id="rId262" Type="http://schemas.openxmlformats.org/officeDocument/2006/relationships/hyperlink" Target="https://doi.org/10.1021/acsmacrolett.3c00044" TargetMode="External"/><Relationship Id="rId318" Type="http://schemas.openxmlformats.org/officeDocument/2006/relationships/hyperlink" Target="https://doi.org/10.1021/acsmacrolett.4c00675" TargetMode="External"/><Relationship Id="rId99" Type="http://schemas.openxmlformats.org/officeDocument/2006/relationships/hyperlink" Target="https://doi.org/10.1021/acspolymersau.2c00030" TargetMode="External"/><Relationship Id="rId122" Type="http://schemas.openxmlformats.org/officeDocument/2006/relationships/hyperlink" Target="https://doi.org/10.1021/acspolymersau.2c00066" TargetMode="External"/><Relationship Id="rId164" Type="http://schemas.openxmlformats.org/officeDocument/2006/relationships/hyperlink" Target="https://doi.org/10.1021/acspolymersau.3c00043" TargetMode="External"/><Relationship Id="rId371" Type="http://schemas.openxmlformats.org/officeDocument/2006/relationships/hyperlink" Target="https://doi.org/10.1021/acs.macromol.5b02602" TargetMode="External"/><Relationship Id="rId26" Type="http://schemas.openxmlformats.org/officeDocument/2006/relationships/hyperlink" Target="https://doi.org/10.1021/acspolymersau.1c00028" TargetMode="External"/><Relationship Id="rId231" Type="http://schemas.openxmlformats.org/officeDocument/2006/relationships/hyperlink" Target="https://doi.org/10.1021/acsmacrolett.1c00564" TargetMode="External"/><Relationship Id="rId273" Type="http://schemas.openxmlformats.org/officeDocument/2006/relationships/hyperlink" Target="https://doi.org/10.1021/acsmacrolett.2c00506" TargetMode="External"/><Relationship Id="rId329" Type="http://schemas.openxmlformats.org/officeDocument/2006/relationships/hyperlink" Target="https://doi.org/10.1021/acsmacrolett.4c00534" TargetMode="External"/><Relationship Id="rId68" Type="http://schemas.openxmlformats.org/officeDocument/2006/relationships/hyperlink" Target="https://doi.org/10.1021/acspolymersau.2c00013" TargetMode="External"/><Relationship Id="rId133" Type="http://schemas.openxmlformats.org/officeDocument/2006/relationships/hyperlink" Target="https://doi.org/10.1021/acspolymersau.3c00004" TargetMode="External"/><Relationship Id="rId175" Type="http://schemas.openxmlformats.org/officeDocument/2006/relationships/hyperlink" Target="https://doi.org/10.1021/acspolymersau.4c00006" TargetMode="External"/><Relationship Id="rId340" Type="http://schemas.openxmlformats.org/officeDocument/2006/relationships/hyperlink" Target="https://doi.org/10.1021/acsmacrolett.5c00009" TargetMode="External"/><Relationship Id="rId200" Type="http://schemas.openxmlformats.org/officeDocument/2006/relationships/hyperlink" Target="https://doi.org/10.1021/acspolymersau.5c00007" TargetMode="External"/><Relationship Id="rId382" Type="http://schemas.openxmlformats.org/officeDocument/2006/relationships/hyperlink" Target="https://doi.org/10.1021/acs.macromol.6b01729" TargetMode="External"/><Relationship Id="rId242" Type="http://schemas.openxmlformats.org/officeDocument/2006/relationships/hyperlink" Target="https://doi.org/10.1021/acsmacrolett.1c00776" TargetMode="External"/><Relationship Id="rId284" Type="http://schemas.openxmlformats.org/officeDocument/2006/relationships/hyperlink" Target="https://doi.org/10.1021/acsmacrolett.3c00418" TargetMode="External"/><Relationship Id="rId37" Type="http://schemas.openxmlformats.org/officeDocument/2006/relationships/hyperlink" Target="https://doi.org/10.1021/acspolymersau.1c00029" TargetMode="External"/><Relationship Id="rId79" Type="http://schemas.openxmlformats.org/officeDocument/2006/relationships/hyperlink" Target="https://doi.org/10.1021/acspolymersau.2c00013" TargetMode="External"/><Relationship Id="rId102" Type="http://schemas.openxmlformats.org/officeDocument/2006/relationships/hyperlink" Target="https://doi.org/10.1021/acspolymersau.2c00030" TargetMode="External"/><Relationship Id="rId144" Type="http://schemas.openxmlformats.org/officeDocument/2006/relationships/hyperlink" Target="https://doi.org/10.1021/acspolymersau.3c00011" TargetMode="External"/><Relationship Id="rId90" Type="http://schemas.openxmlformats.org/officeDocument/2006/relationships/hyperlink" Target="https://doi.org/10.1021/acspolymersau.2c00017" TargetMode="External"/><Relationship Id="rId186" Type="http://schemas.openxmlformats.org/officeDocument/2006/relationships/hyperlink" Target="https://doi.org/10.1021/acspolymersau.4c00033" TargetMode="External"/><Relationship Id="rId351" Type="http://schemas.openxmlformats.org/officeDocument/2006/relationships/hyperlink" Target="https://doi.org/10.1021/ma502542g" TargetMode="External"/><Relationship Id="rId393" Type="http://schemas.openxmlformats.org/officeDocument/2006/relationships/hyperlink" Target="https://doi.org/10.1021/acs.macromol.7b01005" TargetMode="External"/><Relationship Id="rId407" Type="http://schemas.openxmlformats.org/officeDocument/2006/relationships/hyperlink" Target="https://doi.org/10.1021/acs.macromol.8b00772" TargetMode="External"/><Relationship Id="rId211" Type="http://schemas.openxmlformats.org/officeDocument/2006/relationships/hyperlink" Target="https://doi.org/10.1021/acsmacrolett.8b00807" TargetMode="External"/><Relationship Id="rId253" Type="http://schemas.openxmlformats.org/officeDocument/2006/relationships/hyperlink" Target="https://doi.org/10.1021/acsmacrolett.1c00647" TargetMode="External"/><Relationship Id="rId295" Type="http://schemas.openxmlformats.org/officeDocument/2006/relationships/hyperlink" Target="https://doi.org/10.1021/acsmacrolett.3c00751" TargetMode="External"/><Relationship Id="rId309" Type="http://schemas.openxmlformats.org/officeDocument/2006/relationships/hyperlink" Target="https://doi.org/10.1021/acsmacrolett.4c00069" TargetMode="External"/><Relationship Id="rId48" Type="http://schemas.openxmlformats.org/officeDocument/2006/relationships/hyperlink" Target="https://doi.org/10.1021/acspolymersau.1c00053" TargetMode="External"/><Relationship Id="rId113" Type="http://schemas.openxmlformats.org/officeDocument/2006/relationships/hyperlink" Target="https://doi.org/10.1021/acspolymersau.2c00044" TargetMode="External"/><Relationship Id="rId320" Type="http://schemas.openxmlformats.org/officeDocument/2006/relationships/hyperlink" Target="https://doi.org/10.1021/acsmacrolett.4c0055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39/C7SC00154A" TargetMode="External"/><Relationship Id="rId13" Type="http://schemas.openxmlformats.org/officeDocument/2006/relationships/hyperlink" Target="https://doi.org/10.1039/C7SC00154A" TargetMode="External"/><Relationship Id="rId18" Type="http://schemas.openxmlformats.org/officeDocument/2006/relationships/hyperlink" Target="https://doi.org/10.1039/D5DD00051C" TargetMode="External"/><Relationship Id="rId26" Type="http://schemas.openxmlformats.org/officeDocument/2006/relationships/hyperlink" Target="https://doi.org/10.1021/acs.macromol.9b02185" TargetMode="External"/><Relationship Id="rId3" Type="http://schemas.openxmlformats.org/officeDocument/2006/relationships/hyperlink" Target="https://doi.org/10.1021/ma5011183" TargetMode="External"/><Relationship Id="rId21" Type="http://schemas.openxmlformats.org/officeDocument/2006/relationships/hyperlink" Target="https://doi.org/10.1039/D4SC03222E" TargetMode="External"/><Relationship Id="rId7" Type="http://schemas.openxmlformats.org/officeDocument/2006/relationships/hyperlink" Target="https://doi.org/10.1021/acs.macromol.4c00728" TargetMode="External"/><Relationship Id="rId12" Type="http://schemas.openxmlformats.org/officeDocument/2006/relationships/hyperlink" Target="https://doi.org/10.1039/C7SC00154A" TargetMode="External"/><Relationship Id="rId17" Type="http://schemas.openxmlformats.org/officeDocument/2006/relationships/hyperlink" Target="https://doi.org/10.1039/C7SC00154A" TargetMode="External"/><Relationship Id="rId25" Type="http://schemas.openxmlformats.org/officeDocument/2006/relationships/hyperlink" Target="https://doi.org/10.1021/acs.macromol.9b02185" TargetMode="External"/><Relationship Id="rId2" Type="http://schemas.openxmlformats.org/officeDocument/2006/relationships/hyperlink" Target="https://doi.org/10.1021/ma401869p" TargetMode="External"/><Relationship Id="rId16" Type="http://schemas.openxmlformats.org/officeDocument/2006/relationships/hyperlink" Target="https://doi.org/10.1039/C7SC00154A" TargetMode="External"/><Relationship Id="rId20" Type="http://schemas.openxmlformats.org/officeDocument/2006/relationships/hyperlink" Target="https://doi.org/10.1039/C8FD00197A" TargetMode="External"/><Relationship Id="rId1" Type="http://schemas.openxmlformats.org/officeDocument/2006/relationships/hyperlink" Target="https://doi.org/10.1021/acsmacrolett.2c00568" TargetMode="External"/><Relationship Id="rId6" Type="http://schemas.openxmlformats.org/officeDocument/2006/relationships/hyperlink" Target="https://doi.org/10.1021/acs.macromol.4c00728" TargetMode="External"/><Relationship Id="rId11" Type="http://schemas.openxmlformats.org/officeDocument/2006/relationships/hyperlink" Target="https://doi.org/10.1039/C7SC00154A" TargetMode="External"/><Relationship Id="rId24" Type="http://schemas.openxmlformats.org/officeDocument/2006/relationships/hyperlink" Target="https://doi.org/10.1016/j.polymer.2025.128830" TargetMode="External"/><Relationship Id="rId5" Type="http://schemas.openxmlformats.org/officeDocument/2006/relationships/hyperlink" Target="https://doi.org/10.1039/C5SC02385H" TargetMode="External"/><Relationship Id="rId15" Type="http://schemas.openxmlformats.org/officeDocument/2006/relationships/hyperlink" Target="https://doi.org/10.1039/C7SC00154A" TargetMode="External"/><Relationship Id="rId23" Type="http://schemas.openxmlformats.org/officeDocument/2006/relationships/hyperlink" Target="https://doi.org/10.1039/D4SC06902A" TargetMode="External"/><Relationship Id="rId28" Type="http://schemas.openxmlformats.org/officeDocument/2006/relationships/hyperlink" Target="https://doi.org/10.1002/anie.202211946" TargetMode="External"/><Relationship Id="rId10" Type="http://schemas.openxmlformats.org/officeDocument/2006/relationships/hyperlink" Target="https://doi.org/10.1039/C7SC00154A" TargetMode="External"/><Relationship Id="rId19" Type="http://schemas.openxmlformats.org/officeDocument/2006/relationships/hyperlink" Target="https://doi.org/10.1039/C8FD00197A" TargetMode="External"/><Relationship Id="rId4" Type="http://schemas.openxmlformats.org/officeDocument/2006/relationships/hyperlink" Target="https://doi.org/10.1039/C5SC02385H" TargetMode="External"/><Relationship Id="rId9" Type="http://schemas.openxmlformats.org/officeDocument/2006/relationships/hyperlink" Target="https://doi.org/10.1039/C7SC00154A" TargetMode="External"/><Relationship Id="rId14" Type="http://schemas.openxmlformats.org/officeDocument/2006/relationships/hyperlink" Target="https://doi.org/10.1039/C7SC00154A" TargetMode="External"/><Relationship Id="rId22" Type="http://schemas.openxmlformats.org/officeDocument/2006/relationships/hyperlink" Target="https://doi.org/10.1039/D4SC06902A" TargetMode="External"/><Relationship Id="rId27" Type="http://schemas.openxmlformats.org/officeDocument/2006/relationships/hyperlink" Target="https://doi.org/10.1016/j.cej.2024.1496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2BEE4-4C04-B140-8D4F-93E65A4F94B7}">
  <dimension ref="A1:I421"/>
  <sheetViews>
    <sheetView tabSelected="1" topLeftCell="A80" workbookViewId="0">
      <selection activeCell="J74" sqref="J74"/>
    </sheetView>
  </sheetViews>
  <sheetFormatPr baseColWidth="10" defaultRowHeight="16" x14ac:dyDescent="0.2"/>
  <cols>
    <col min="1" max="1" width="32" bestFit="1" customWidth="1"/>
    <col min="2" max="2" width="27.33203125" customWidth="1"/>
    <col min="3" max="3" width="41" bestFit="1" customWidth="1"/>
    <col min="4" max="4" width="11.83203125" bestFit="1" customWidth="1"/>
    <col min="5" max="5" width="11.83203125" customWidth="1"/>
    <col min="6" max="6" width="16.33203125" bestFit="1" customWidth="1"/>
    <col min="8" max="8" width="17" customWidth="1"/>
    <col min="16" max="16" width="11.83203125" bestFit="1" customWidth="1"/>
  </cols>
  <sheetData>
    <row r="1" spans="1:9" x14ac:dyDescent="0.2">
      <c r="A1" t="s">
        <v>1</v>
      </c>
      <c r="B1" t="s">
        <v>0</v>
      </c>
      <c r="C1" t="s">
        <v>26</v>
      </c>
      <c r="D1" t="s">
        <v>130</v>
      </c>
      <c r="E1" t="s">
        <v>131</v>
      </c>
      <c r="F1" t="s">
        <v>80</v>
      </c>
      <c r="G1" t="s">
        <v>83</v>
      </c>
      <c r="H1" t="s">
        <v>200</v>
      </c>
      <c r="I1" t="s">
        <v>129</v>
      </c>
    </row>
    <row r="2" spans="1:9" x14ac:dyDescent="0.2">
      <c r="A2" t="str">
        <f t="shared" ref="A2:A65" si="0">_xlfn.CONCAT(H2, "/",RIGHT(C2,7),"_",IF(D2="SI","si_",""), I2)</f>
        <v>acsmacrolett/0c00044_f1</v>
      </c>
      <c r="B2" t="s">
        <v>21</v>
      </c>
      <c r="C2" s="1" t="s">
        <v>198</v>
      </c>
      <c r="D2" t="s">
        <v>132</v>
      </c>
      <c r="E2" t="s">
        <v>36</v>
      </c>
      <c r="F2" t="s">
        <v>190</v>
      </c>
      <c r="G2">
        <v>3</v>
      </c>
      <c r="H2" t="str" cm="1">
        <f t="array" ref="H2">INDEX(_xlfn.TEXTSPLIT(INDEX(_xlfn.TEXTSPLIT(C2, "/"), 5), "."), 1)</f>
        <v>acsmacrolett</v>
      </c>
      <c r="I2" t="str" cm="1">
        <f t="array" ref="I2">IF(E2="Abstract","a",LOWER(_xlfn.CONCAT(LEFT(INDEX(_xlfn.TEXTSPLIT(E2," "),1),1),INDEX(_xlfn.TEXTSPLIT(E2," "),2))))</f>
        <v>f1</v>
      </c>
    </row>
    <row r="3" spans="1:9" x14ac:dyDescent="0.2">
      <c r="A3" t="str">
        <f t="shared" si="0"/>
        <v>acsmacrolett/0c00175_f1</v>
      </c>
      <c r="B3" t="s">
        <v>21</v>
      </c>
      <c r="C3" s="1" t="s">
        <v>196</v>
      </c>
      <c r="D3" t="s">
        <v>132</v>
      </c>
      <c r="E3" t="s">
        <v>36</v>
      </c>
      <c r="F3" t="s">
        <v>188</v>
      </c>
      <c r="G3">
        <v>2</v>
      </c>
      <c r="H3" t="str" cm="1">
        <f t="array" ref="H3">INDEX(_xlfn.TEXTSPLIT(INDEX(_xlfn.TEXTSPLIT(C3, "/"), 5), "."), 1)</f>
        <v>acsmacrolett</v>
      </c>
      <c r="I3" t="str" cm="1">
        <f t="array" ref="I3">IF(E3="Abstract","a",LOWER(_xlfn.CONCAT(LEFT(INDEX(_xlfn.TEXTSPLIT(E3," "),1),1),INDEX(_xlfn.TEXTSPLIT(E3," "),2))))</f>
        <v>f1</v>
      </c>
    </row>
    <row r="4" spans="1:9" x14ac:dyDescent="0.2">
      <c r="A4" t="str">
        <f t="shared" si="0"/>
        <v>acsmacrolett/0c00241_f1</v>
      </c>
      <c r="B4" t="s">
        <v>21</v>
      </c>
      <c r="C4" s="1" t="s">
        <v>197</v>
      </c>
      <c r="D4" t="s">
        <v>132</v>
      </c>
      <c r="E4" t="s">
        <v>36</v>
      </c>
      <c r="F4" t="s">
        <v>188</v>
      </c>
      <c r="G4">
        <v>1</v>
      </c>
      <c r="H4" t="str" cm="1">
        <f t="array" ref="H4">INDEX(_xlfn.TEXTSPLIT(INDEX(_xlfn.TEXTSPLIT(C4, "/"), 5), "."), 1)</f>
        <v>acsmacrolett</v>
      </c>
      <c r="I4" t="str" cm="1">
        <f t="array" ref="I4">IF(E4="Abstract","a",LOWER(_xlfn.CONCAT(LEFT(INDEX(_xlfn.TEXTSPLIT(E4," "),1),1),INDEX(_xlfn.TEXTSPLIT(E4," "),2))))</f>
        <v>f1</v>
      </c>
    </row>
    <row r="5" spans="1:9" x14ac:dyDescent="0.2">
      <c r="A5" t="str">
        <f t="shared" si="0"/>
        <v>acsmacrolett/0c00461_f1</v>
      </c>
      <c r="B5" t="s">
        <v>21</v>
      </c>
      <c r="C5" s="1" t="s">
        <v>214</v>
      </c>
      <c r="D5" t="s">
        <v>132</v>
      </c>
      <c r="E5" t="s">
        <v>36</v>
      </c>
      <c r="F5" t="s">
        <v>190</v>
      </c>
      <c r="G5">
        <v>3</v>
      </c>
      <c r="H5" t="str" cm="1">
        <f t="array" ref="H5">INDEX(_xlfn.TEXTSPLIT(INDEX(_xlfn.TEXTSPLIT(C5, "/"), 5), "."), 1)</f>
        <v>acsmacrolett</v>
      </c>
      <c r="I5" t="str" cm="1">
        <f t="array" ref="I5">IF(E5="Abstract","a",LOWER(_xlfn.CONCAT(LEFT(INDEX(_xlfn.TEXTSPLIT(E5," "),1),1),INDEX(_xlfn.TEXTSPLIT(E5," "),2))))</f>
        <v>f1</v>
      </c>
    </row>
    <row r="6" spans="1:9" x14ac:dyDescent="0.2">
      <c r="A6" t="str">
        <f t="shared" si="0"/>
        <v>acsmacrolett/0c00461_f2</v>
      </c>
      <c r="B6" t="s">
        <v>21</v>
      </c>
      <c r="C6" s="1" t="s">
        <v>214</v>
      </c>
      <c r="D6" t="s">
        <v>132</v>
      </c>
      <c r="E6" t="s">
        <v>37</v>
      </c>
      <c r="F6" t="s">
        <v>190</v>
      </c>
      <c r="G6">
        <v>2</v>
      </c>
      <c r="H6" t="str" cm="1">
        <f t="array" ref="H6">INDEX(_xlfn.TEXTSPLIT(INDEX(_xlfn.TEXTSPLIT(C6, "/"), 5), "."), 1)</f>
        <v>acsmacrolett</v>
      </c>
      <c r="I6" t="str" cm="1">
        <f t="array" ref="I6">IF(E6="Abstract","a",LOWER(_xlfn.CONCAT(LEFT(INDEX(_xlfn.TEXTSPLIT(E6," "),1),1),INDEX(_xlfn.TEXTSPLIT(E6," "),2))))</f>
        <v>f2</v>
      </c>
    </row>
    <row r="7" spans="1:9" x14ac:dyDescent="0.2">
      <c r="A7" t="str">
        <f t="shared" si="0"/>
        <v>acsmacrolett/0c00469_s1</v>
      </c>
      <c r="B7" t="s">
        <v>21</v>
      </c>
      <c r="C7" s="1" t="s">
        <v>212</v>
      </c>
      <c r="D7" t="s">
        <v>132</v>
      </c>
      <c r="E7" t="s">
        <v>40</v>
      </c>
      <c r="F7" t="s">
        <v>190</v>
      </c>
      <c r="G7">
        <v>1</v>
      </c>
      <c r="H7" t="str" cm="1">
        <f t="array" ref="H7">INDEX(_xlfn.TEXTSPLIT(INDEX(_xlfn.TEXTSPLIT(C7, "/"), 5), "."), 1)</f>
        <v>acsmacrolett</v>
      </c>
      <c r="I7" t="str" cm="1">
        <f t="array" ref="I7">IF(E7="Abstract","a",LOWER(_xlfn.CONCAT(LEFT(INDEX(_xlfn.TEXTSPLIT(E7," "),1),1),INDEX(_xlfn.TEXTSPLIT(E7," "),2))))</f>
        <v>s1</v>
      </c>
    </row>
    <row r="8" spans="1:9" x14ac:dyDescent="0.2">
      <c r="A8" t="str">
        <f t="shared" si="0"/>
        <v>acsmacrolett/0c00495_f1</v>
      </c>
      <c r="B8" t="s">
        <v>21</v>
      </c>
      <c r="C8" s="1" t="s">
        <v>213</v>
      </c>
      <c r="D8" t="s">
        <v>132</v>
      </c>
      <c r="E8" t="s">
        <v>36</v>
      </c>
      <c r="F8" t="s">
        <v>82</v>
      </c>
      <c r="G8">
        <v>2</v>
      </c>
      <c r="H8" t="str" cm="1">
        <f t="array" ref="H8">INDEX(_xlfn.TEXTSPLIT(INDEX(_xlfn.TEXTSPLIT(C8, "/"), 5), "."), 1)</f>
        <v>acsmacrolett</v>
      </c>
      <c r="I8" t="str" cm="1">
        <f t="array" ref="I8">IF(E8="Abstract","a",LOWER(_xlfn.CONCAT(LEFT(INDEX(_xlfn.TEXTSPLIT(E8," "),1),1),INDEX(_xlfn.TEXTSPLIT(E8," "),2))))</f>
        <v>f1</v>
      </c>
    </row>
    <row r="9" spans="1:9" x14ac:dyDescent="0.2">
      <c r="A9" t="str">
        <f t="shared" si="0"/>
        <v>acsmacrolett/0c00645_f1</v>
      </c>
      <c r="B9" t="s">
        <v>21</v>
      </c>
      <c r="C9" s="1" t="s">
        <v>211</v>
      </c>
      <c r="D9" t="s">
        <v>132</v>
      </c>
      <c r="E9" t="s">
        <v>36</v>
      </c>
      <c r="F9" t="s">
        <v>190</v>
      </c>
      <c r="G9">
        <v>12</v>
      </c>
      <c r="H9" t="str" cm="1">
        <f t="array" ref="H9">INDEX(_xlfn.TEXTSPLIT(INDEX(_xlfn.TEXTSPLIT(C9, "/"), 5), "."), 1)</f>
        <v>acsmacrolett</v>
      </c>
      <c r="I9" t="str" cm="1">
        <f t="array" ref="I9">IF(E9="Abstract","a",LOWER(_xlfn.CONCAT(LEFT(INDEX(_xlfn.TEXTSPLIT(E9," "),1),1),INDEX(_xlfn.TEXTSPLIT(E9," "),2))))</f>
        <v>f1</v>
      </c>
    </row>
    <row r="10" spans="1:9" x14ac:dyDescent="0.2">
      <c r="A10" t="str">
        <f t="shared" si="0"/>
        <v>acsmacrolett/0c00784_f1</v>
      </c>
      <c r="B10" t="s">
        <v>21</v>
      </c>
      <c r="C10" s="1" t="s">
        <v>210</v>
      </c>
      <c r="D10" t="s">
        <v>132</v>
      </c>
      <c r="E10" t="s">
        <v>36</v>
      </c>
      <c r="F10" t="s">
        <v>190</v>
      </c>
      <c r="G10">
        <v>2</v>
      </c>
      <c r="H10" t="str" cm="1">
        <f t="array" ref="H10">INDEX(_xlfn.TEXTSPLIT(INDEX(_xlfn.TEXTSPLIT(C10, "/"), 5), "."), 1)</f>
        <v>acsmacrolett</v>
      </c>
      <c r="I10" t="str" cm="1">
        <f t="array" ref="I10">IF(E10="Abstract","a",LOWER(_xlfn.CONCAT(LEFT(INDEX(_xlfn.TEXTSPLIT(E10," "),1),1),INDEX(_xlfn.TEXTSPLIT(E10," "),2))))</f>
        <v>f1</v>
      </c>
    </row>
    <row r="11" spans="1:9" x14ac:dyDescent="0.2">
      <c r="A11" t="str">
        <f t="shared" si="0"/>
        <v>acsmacrolett/0c00849_f1</v>
      </c>
      <c r="B11" t="s">
        <v>21</v>
      </c>
      <c r="C11" s="1" t="s">
        <v>209</v>
      </c>
      <c r="D11" t="s">
        <v>132</v>
      </c>
      <c r="E11" t="s">
        <v>36</v>
      </c>
      <c r="F11" t="s">
        <v>82</v>
      </c>
      <c r="G11">
        <v>1</v>
      </c>
      <c r="H11" t="str" cm="1">
        <f t="array" ref="H11">INDEX(_xlfn.TEXTSPLIT(INDEX(_xlfn.TEXTSPLIT(C11, "/"), 5), "."), 1)</f>
        <v>acsmacrolett</v>
      </c>
      <c r="I11" t="str" cm="1">
        <f t="array" ref="I11">IF(E11="Abstract","a",LOWER(_xlfn.CONCAT(LEFT(INDEX(_xlfn.TEXTSPLIT(E11," "),1),1),INDEX(_xlfn.TEXTSPLIT(E11," "),2))))</f>
        <v>f1</v>
      </c>
    </row>
    <row r="12" spans="1:9" x14ac:dyDescent="0.2">
      <c r="A12" t="str">
        <f t="shared" si="0"/>
        <v>acsmacrolett/1c00142_f1</v>
      </c>
      <c r="B12" t="s">
        <v>21</v>
      </c>
      <c r="C12" s="1" t="s">
        <v>208</v>
      </c>
      <c r="D12" t="s">
        <v>132</v>
      </c>
      <c r="E12" t="s">
        <v>36</v>
      </c>
      <c r="F12" t="s">
        <v>82</v>
      </c>
      <c r="G12">
        <v>1</v>
      </c>
      <c r="H12" t="str" cm="1">
        <f t="array" ref="H12">INDEX(_xlfn.TEXTSPLIT(INDEX(_xlfn.TEXTSPLIT(C12, "/"), 5), "."), 1)</f>
        <v>acsmacrolett</v>
      </c>
      <c r="I12" t="str" cm="1">
        <f t="array" ref="I12">IF(E12="Abstract","a",LOWER(_xlfn.CONCAT(LEFT(INDEX(_xlfn.TEXTSPLIT(E12," "),1),1),INDEX(_xlfn.TEXTSPLIT(E12," "),2))))</f>
        <v>f1</v>
      </c>
    </row>
    <row r="13" spans="1:9" x14ac:dyDescent="0.2">
      <c r="A13" t="str">
        <f t="shared" si="0"/>
        <v>acsmacrolett/1c00457_f1</v>
      </c>
      <c r="B13" t="s">
        <v>21</v>
      </c>
      <c r="C13" s="1" t="s">
        <v>207</v>
      </c>
      <c r="D13" t="s">
        <v>132</v>
      </c>
      <c r="E13" t="s">
        <v>36</v>
      </c>
      <c r="F13" t="s">
        <v>82</v>
      </c>
      <c r="G13">
        <v>4</v>
      </c>
      <c r="H13" t="str" cm="1">
        <f t="array" ref="H13">INDEX(_xlfn.TEXTSPLIT(INDEX(_xlfn.TEXTSPLIT(C13, "/"), 5), "."), 1)</f>
        <v>acsmacrolett</v>
      </c>
      <c r="I13" t="str" cm="1">
        <f t="array" ref="I13">IF(E13="Abstract","a",LOWER(_xlfn.CONCAT(LEFT(INDEX(_xlfn.TEXTSPLIT(E13," "),1),1),INDEX(_xlfn.TEXTSPLIT(E13," "),2))))</f>
        <v>f1</v>
      </c>
    </row>
    <row r="14" spans="1:9" x14ac:dyDescent="0.2">
      <c r="A14" t="str">
        <f t="shared" si="0"/>
        <v>acsmacrolett/1c00558_s1</v>
      </c>
      <c r="B14" t="s">
        <v>21</v>
      </c>
      <c r="C14" s="1" t="s">
        <v>226</v>
      </c>
      <c r="D14" t="s">
        <v>132</v>
      </c>
      <c r="E14" t="s">
        <v>40</v>
      </c>
      <c r="F14" t="s">
        <v>81</v>
      </c>
      <c r="G14">
        <v>1</v>
      </c>
      <c r="H14" t="str" cm="1">
        <f t="array" ref="H14">INDEX(_xlfn.TEXTSPLIT(INDEX(_xlfn.TEXTSPLIT(C14, "/"), 5), "."), 1)</f>
        <v>acsmacrolett</v>
      </c>
      <c r="I14" t="str" cm="1">
        <f t="array" ref="I14">IF(E14="Abstract","a",LOWER(_xlfn.CONCAT(LEFT(INDEX(_xlfn.TEXTSPLIT(E14," "),1),1),INDEX(_xlfn.TEXTSPLIT(E14," "),2))))</f>
        <v>s1</v>
      </c>
    </row>
    <row r="15" spans="1:9" x14ac:dyDescent="0.2">
      <c r="A15" t="str">
        <f t="shared" si="0"/>
        <v>acsmacrolett/1c00564_f1</v>
      </c>
      <c r="B15" t="s">
        <v>21</v>
      </c>
      <c r="C15" s="1" t="s">
        <v>206</v>
      </c>
      <c r="D15" t="s">
        <v>132</v>
      </c>
      <c r="E15" t="s">
        <v>36</v>
      </c>
      <c r="F15" t="s">
        <v>81</v>
      </c>
      <c r="G15">
        <v>1</v>
      </c>
      <c r="H15" t="str" cm="1">
        <f t="array" ref="H15">INDEX(_xlfn.TEXTSPLIT(INDEX(_xlfn.TEXTSPLIT(C15, "/"), 5), "."), 1)</f>
        <v>acsmacrolett</v>
      </c>
      <c r="I15" t="str" cm="1">
        <f t="array" ref="I15">IF(E15="Abstract","a",LOWER(_xlfn.CONCAT(LEFT(INDEX(_xlfn.TEXTSPLIT(E15," "),1),1),INDEX(_xlfn.TEXTSPLIT(E15," "),2))))</f>
        <v>f1</v>
      </c>
    </row>
    <row r="16" spans="1:9" x14ac:dyDescent="0.2">
      <c r="A16" t="str">
        <f t="shared" si="0"/>
        <v>acsmacrolett/1c00564_f2</v>
      </c>
      <c r="B16" t="s">
        <v>21</v>
      </c>
      <c r="C16" s="1" t="s">
        <v>206</v>
      </c>
      <c r="D16" t="s">
        <v>132</v>
      </c>
      <c r="E16" t="s">
        <v>37</v>
      </c>
      <c r="F16" t="s">
        <v>81</v>
      </c>
      <c r="G16">
        <v>2</v>
      </c>
      <c r="H16" t="str" cm="1">
        <f t="array" ref="H16">INDEX(_xlfn.TEXTSPLIT(INDEX(_xlfn.TEXTSPLIT(C16, "/"), 5), "."), 1)</f>
        <v>acsmacrolett</v>
      </c>
      <c r="I16" t="str" cm="1">
        <f t="array" ref="I16">IF(E16="Abstract","a",LOWER(_xlfn.CONCAT(LEFT(INDEX(_xlfn.TEXTSPLIT(E16," "),1),1),INDEX(_xlfn.TEXTSPLIT(E16," "),2))))</f>
        <v>f2</v>
      </c>
    </row>
    <row r="17" spans="1:9" x14ac:dyDescent="0.2">
      <c r="A17" t="str">
        <f t="shared" si="0"/>
        <v>acsmacrolett/1c00564_f4</v>
      </c>
      <c r="B17" t="s">
        <v>21</v>
      </c>
      <c r="C17" s="1" t="s">
        <v>206</v>
      </c>
      <c r="D17" t="s">
        <v>132</v>
      </c>
      <c r="E17" t="s">
        <v>34</v>
      </c>
      <c r="F17" t="s">
        <v>81</v>
      </c>
      <c r="G17">
        <v>2</v>
      </c>
      <c r="H17" t="str" cm="1">
        <f t="array" ref="H17">INDEX(_xlfn.TEXTSPLIT(INDEX(_xlfn.TEXTSPLIT(C17, "/"), 5), "."), 1)</f>
        <v>acsmacrolett</v>
      </c>
      <c r="I17" t="str" cm="1">
        <f t="array" ref="I17">IF(E17="Abstract","a",LOWER(_xlfn.CONCAT(LEFT(INDEX(_xlfn.TEXTSPLIT(E17," "),1),1),INDEX(_xlfn.TEXTSPLIT(E17," "),2))))</f>
        <v>f4</v>
      </c>
    </row>
    <row r="18" spans="1:9" x14ac:dyDescent="0.2">
      <c r="A18" t="str">
        <f t="shared" si="0"/>
        <v>acsmacrolett/1c00564_s1</v>
      </c>
      <c r="B18" t="s">
        <v>21</v>
      </c>
      <c r="C18" s="1" t="s">
        <v>206</v>
      </c>
      <c r="D18" t="s">
        <v>132</v>
      </c>
      <c r="E18" t="s">
        <v>40</v>
      </c>
      <c r="F18" t="s">
        <v>81</v>
      </c>
      <c r="G18">
        <v>3</v>
      </c>
      <c r="H18" t="str" cm="1">
        <f t="array" ref="H18">INDEX(_xlfn.TEXTSPLIT(INDEX(_xlfn.TEXTSPLIT(C18, "/"), 5), "."), 1)</f>
        <v>acsmacrolett</v>
      </c>
      <c r="I18" t="str" cm="1">
        <f t="array" ref="I18">IF(E18="Abstract","a",LOWER(_xlfn.CONCAT(LEFT(INDEX(_xlfn.TEXTSPLIT(E18," "),1),1),INDEX(_xlfn.TEXTSPLIT(E18," "),2))))</f>
        <v>s1</v>
      </c>
    </row>
    <row r="19" spans="1:9" x14ac:dyDescent="0.2">
      <c r="A19" t="str">
        <f t="shared" si="0"/>
        <v>acsmacrolett/1c00628_f1</v>
      </c>
      <c r="B19" t="s">
        <v>21</v>
      </c>
      <c r="C19" s="1" t="s">
        <v>225</v>
      </c>
      <c r="D19" t="s">
        <v>132</v>
      </c>
      <c r="E19" t="s">
        <v>36</v>
      </c>
      <c r="F19" t="s">
        <v>82</v>
      </c>
      <c r="G19">
        <v>1</v>
      </c>
      <c r="H19" t="str" cm="1">
        <f t="array" ref="H19">INDEX(_xlfn.TEXTSPLIT(INDEX(_xlfn.TEXTSPLIT(C19, "/"), 5), "."), 1)</f>
        <v>acsmacrolett</v>
      </c>
      <c r="I19" t="str" cm="1">
        <f t="array" ref="I19">IF(E19="Abstract","a",LOWER(_xlfn.CONCAT(LEFT(INDEX(_xlfn.TEXTSPLIT(E19," "),1),1),INDEX(_xlfn.TEXTSPLIT(E19," "),2))))</f>
        <v>f1</v>
      </c>
    </row>
    <row r="20" spans="1:9" x14ac:dyDescent="0.2">
      <c r="A20" t="str">
        <f t="shared" si="0"/>
        <v>acsmacrolett/1c00628_f3</v>
      </c>
      <c r="B20" t="s">
        <v>21</v>
      </c>
      <c r="C20" s="1" t="s">
        <v>225</v>
      </c>
      <c r="D20" t="s">
        <v>132</v>
      </c>
      <c r="E20" t="s">
        <v>69</v>
      </c>
      <c r="F20" t="s">
        <v>82</v>
      </c>
      <c r="G20">
        <v>4</v>
      </c>
      <c r="H20" t="str" cm="1">
        <f t="array" ref="H20">INDEX(_xlfn.TEXTSPLIT(INDEX(_xlfn.TEXTSPLIT(C20, "/"), 5), "."), 1)</f>
        <v>acsmacrolett</v>
      </c>
      <c r="I20" t="str" cm="1">
        <f t="array" ref="I20">IF(E20="Abstract","a",LOWER(_xlfn.CONCAT(LEFT(INDEX(_xlfn.TEXTSPLIT(E20," "),1),1),INDEX(_xlfn.TEXTSPLIT(E20," "),2))))</f>
        <v>f3</v>
      </c>
    </row>
    <row r="21" spans="1:9" x14ac:dyDescent="0.2">
      <c r="A21" t="str">
        <f t="shared" si="0"/>
        <v>acsmacrolett/1c00647_f2</v>
      </c>
      <c r="B21" t="s">
        <v>21</v>
      </c>
      <c r="C21" s="1" t="s">
        <v>221</v>
      </c>
      <c r="D21" t="s">
        <v>132</v>
      </c>
      <c r="E21" t="s">
        <v>37</v>
      </c>
      <c r="F21" t="s">
        <v>81</v>
      </c>
      <c r="G21">
        <v>2</v>
      </c>
      <c r="H21" t="str" cm="1">
        <f t="array" ref="H21">INDEX(_xlfn.TEXTSPLIT(INDEX(_xlfn.TEXTSPLIT(C21, "/"), 5), "."), 1)</f>
        <v>acsmacrolett</v>
      </c>
      <c r="I21" t="str" cm="1">
        <f t="array" ref="I21">IF(E21="Abstract","a",LOWER(_xlfn.CONCAT(LEFT(INDEX(_xlfn.TEXTSPLIT(E21," "),1),1),INDEX(_xlfn.TEXTSPLIT(E21," "),2))))</f>
        <v>f2</v>
      </c>
    </row>
    <row r="22" spans="1:9" x14ac:dyDescent="0.2">
      <c r="A22" t="str">
        <f t="shared" si="0"/>
        <v>acsmacrolett/1c00647_s1</v>
      </c>
      <c r="B22" t="s">
        <v>21</v>
      </c>
      <c r="C22" s="1" t="s">
        <v>221</v>
      </c>
      <c r="D22" t="s">
        <v>132</v>
      </c>
      <c r="E22" t="s">
        <v>40</v>
      </c>
      <c r="F22" t="s">
        <v>81</v>
      </c>
      <c r="G22">
        <v>3</v>
      </c>
      <c r="H22" t="str" cm="1">
        <f t="array" ref="H22">INDEX(_xlfn.TEXTSPLIT(INDEX(_xlfn.TEXTSPLIT(C22, "/"), 5), "."), 1)</f>
        <v>acsmacrolett</v>
      </c>
      <c r="I22" t="str" cm="1">
        <f t="array" ref="I22">IF(E22="Abstract","a",LOWER(_xlfn.CONCAT(LEFT(INDEX(_xlfn.TEXTSPLIT(E22," "),1),1),INDEX(_xlfn.TEXTSPLIT(E22," "),2))))</f>
        <v>s1</v>
      </c>
    </row>
    <row r="23" spans="1:9" x14ac:dyDescent="0.2">
      <c r="A23" t="str">
        <f t="shared" si="0"/>
        <v>acsmacrolett/1c00676_a</v>
      </c>
      <c r="B23" t="s">
        <v>21</v>
      </c>
      <c r="C23" s="1" t="s">
        <v>223</v>
      </c>
      <c r="D23" t="s">
        <v>132</v>
      </c>
      <c r="E23" t="s">
        <v>49</v>
      </c>
      <c r="F23" t="s">
        <v>81</v>
      </c>
      <c r="G23">
        <v>1</v>
      </c>
      <c r="H23" t="str" cm="1">
        <f t="array" ref="H23">INDEX(_xlfn.TEXTSPLIT(INDEX(_xlfn.TEXTSPLIT(C23, "/"), 5), "."), 1)</f>
        <v>acsmacrolett</v>
      </c>
      <c r="I23" t="str" cm="1">
        <f t="array" ref="I23">IF(E23="Abstract","a",LOWER(_xlfn.CONCAT(LEFT(INDEX(_xlfn.TEXTSPLIT(E23," "),1),1),INDEX(_xlfn.TEXTSPLIT(E23," "),2))))</f>
        <v>a</v>
      </c>
    </row>
    <row r="24" spans="1:9" x14ac:dyDescent="0.2">
      <c r="A24" t="str">
        <f t="shared" si="0"/>
        <v>acsmacrolett/1c00676_f1</v>
      </c>
      <c r="B24" t="s">
        <v>21</v>
      </c>
      <c r="C24" s="1" t="s">
        <v>223</v>
      </c>
      <c r="D24" t="s">
        <v>132</v>
      </c>
      <c r="E24" t="s">
        <v>36</v>
      </c>
      <c r="F24" t="s">
        <v>81</v>
      </c>
      <c r="G24">
        <v>2</v>
      </c>
      <c r="H24" t="str" cm="1">
        <f t="array" ref="H24">INDEX(_xlfn.TEXTSPLIT(INDEX(_xlfn.TEXTSPLIT(C24, "/"), 5), "."), 1)</f>
        <v>acsmacrolett</v>
      </c>
      <c r="I24" t="str" cm="1">
        <f t="array" ref="I24">IF(E24="Abstract","a",LOWER(_xlfn.CONCAT(LEFT(INDEX(_xlfn.TEXTSPLIT(E24," "),1),1),INDEX(_xlfn.TEXTSPLIT(E24," "),2))))</f>
        <v>f1</v>
      </c>
    </row>
    <row r="25" spans="1:9" x14ac:dyDescent="0.2">
      <c r="A25" t="str">
        <f t="shared" si="0"/>
        <v>acsmacrolett/1c00682_f1</v>
      </c>
      <c r="B25" t="s">
        <v>21</v>
      </c>
      <c r="C25" s="1" t="s">
        <v>224</v>
      </c>
      <c r="D25" t="s">
        <v>132</v>
      </c>
      <c r="E25" t="s">
        <v>36</v>
      </c>
      <c r="F25" t="s">
        <v>82</v>
      </c>
      <c r="G25">
        <v>3</v>
      </c>
      <c r="H25" t="str" cm="1">
        <f t="array" ref="H25">INDEX(_xlfn.TEXTSPLIT(INDEX(_xlfn.TEXTSPLIT(C25, "/"), 5), "."), 1)</f>
        <v>acsmacrolett</v>
      </c>
      <c r="I25" t="str" cm="1">
        <f t="array" ref="I25">IF(E25="Abstract","a",LOWER(_xlfn.CONCAT(LEFT(INDEX(_xlfn.TEXTSPLIT(E25," "),1),1),INDEX(_xlfn.TEXTSPLIT(E25," "),2))))</f>
        <v>f1</v>
      </c>
    </row>
    <row r="26" spans="1:9" x14ac:dyDescent="0.2">
      <c r="A26" t="str">
        <f t="shared" si="0"/>
        <v>acsmacrolett/1c00686_f2</v>
      </c>
      <c r="B26" t="s">
        <v>21</v>
      </c>
      <c r="C26" s="1" t="s">
        <v>222</v>
      </c>
      <c r="D26" t="s">
        <v>132</v>
      </c>
      <c r="E26" t="s">
        <v>37</v>
      </c>
      <c r="F26" t="s">
        <v>81</v>
      </c>
      <c r="G26">
        <v>1</v>
      </c>
      <c r="H26" t="str" cm="1">
        <f t="array" ref="H26">INDEX(_xlfn.TEXTSPLIT(INDEX(_xlfn.TEXTSPLIT(C26, "/"), 5), "."), 1)</f>
        <v>acsmacrolett</v>
      </c>
      <c r="I26" t="str" cm="1">
        <f t="array" ref="I26">IF(E26="Abstract","a",LOWER(_xlfn.CONCAT(LEFT(INDEX(_xlfn.TEXTSPLIT(E26," "),1),1),INDEX(_xlfn.TEXTSPLIT(E26," "),2))))</f>
        <v>f2</v>
      </c>
    </row>
    <row r="27" spans="1:9" x14ac:dyDescent="0.2">
      <c r="A27" t="str">
        <f t="shared" si="0"/>
        <v>acsmacrolett/1c00686_s1</v>
      </c>
      <c r="B27" t="s">
        <v>21</v>
      </c>
      <c r="C27" s="1" t="s">
        <v>222</v>
      </c>
      <c r="D27" t="s">
        <v>132</v>
      </c>
      <c r="E27" t="s">
        <v>40</v>
      </c>
      <c r="F27" t="s">
        <v>81</v>
      </c>
      <c r="G27">
        <v>4</v>
      </c>
      <c r="H27" t="str" cm="1">
        <f t="array" ref="H27">INDEX(_xlfn.TEXTSPLIT(INDEX(_xlfn.TEXTSPLIT(C27, "/"), 5), "."), 1)</f>
        <v>acsmacrolett</v>
      </c>
      <c r="I27" t="str" cm="1">
        <f t="array" ref="I27">IF(E27="Abstract","a",LOWER(_xlfn.CONCAT(LEFT(INDEX(_xlfn.TEXTSPLIT(E27," "),1),1),INDEX(_xlfn.TEXTSPLIT(E27," "),2))))</f>
        <v>s1</v>
      </c>
    </row>
    <row r="28" spans="1:9" x14ac:dyDescent="0.2">
      <c r="A28" t="str">
        <f t="shared" si="0"/>
        <v>acsmacrolett/1c00712_s1</v>
      </c>
      <c r="B28" t="s">
        <v>21</v>
      </c>
      <c r="C28" s="1" t="s">
        <v>220</v>
      </c>
      <c r="D28" t="s">
        <v>132</v>
      </c>
      <c r="E28" t="s">
        <v>40</v>
      </c>
      <c r="F28" t="s">
        <v>82</v>
      </c>
      <c r="G28">
        <v>4</v>
      </c>
      <c r="H28" t="str" cm="1">
        <f t="array" ref="H28">INDEX(_xlfn.TEXTSPLIT(INDEX(_xlfn.TEXTSPLIT(C28, "/"), 5), "."), 1)</f>
        <v>acsmacrolett</v>
      </c>
      <c r="I28" t="str" cm="1">
        <f t="array" ref="I28">IF(E28="Abstract","a",LOWER(_xlfn.CONCAT(LEFT(INDEX(_xlfn.TEXTSPLIT(E28," "),1),1),INDEX(_xlfn.TEXTSPLIT(E28," "),2))))</f>
        <v>s1</v>
      </c>
    </row>
    <row r="29" spans="1:9" x14ac:dyDescent="0.2">
      <c r="A29" t="str">
        <f t="shared" si="0"/>
        <v>acsmacrolett/1c00716_f1</v>
      </c>
      <c r="B29" t="s">
        <v>21</v>
      </c>
      <c r="C29" s="1" t="s">
        <v>218</v>
      </c>
      <c r="D29" t="s">
        <v>132</v>
      </c>
      <c r="E29" t="s">
        <v>36</v>
      </c>
      <c r="F29" t="s">
        <v>82</v>
      </c>
      <c r="G29">
        <v>1</v>
      </c>
      <c r="H29" t="str" cm="1">
        <f t="array" ref="H29">INDEX(_xlfn.TEXTSPLIT(INDEX(_xlfn.TEXTSPLIT(C29, "/"), 5), "."), 1)</f>
        <v>acsmacrolett</v>
      </c>
      <c r="I29" t="str" cm="1">
        <f t="array" ref="I29">IF(E29="Abstract","a",LOWER(_xlfn.CONCAT(LEFT(INDEX(_xlfn.TEXTSPLIT(E29," "),1),1),INDEX(_xlfn.TEXTSPLIT(E29," "),2))))</f>
        <v>f1</v>
      </c>
    </row>
    <row r="30" spans="1:9" x14ac:dyDescent="0.2">
      <c r="A30" t="str">
        <f t="shared" si="0"/>
        <v>acsmacrolett/1c00758_s1</v>
      </c>
      <c r="B30" t="s">
        <v>21</v>
      </c>
      <c r="C30" s="1" t="s">
        <v>219</v>
      </c>
      <c r="D30" t="s">
        <v>132</v>
      </c>
      <c r="E30" t="s">
        <v>40</v>
      </c>
      <c r="F30" t="s">
        <v>82</v>
      </c>
      <c r="G30">
        <v>1</v>
      </c>
      <c r="H30" t="str" cm="1">
        <f t="array" ref="H30">INDEX(_xlfn.TEXTSPLIT(INDEX(_xlfn.TEXTSPLIT(C30, "/"), 5), "."), 1)</f>
        <v>acsmacrolett</v>
      </c>
      <c r="I30" t="str" cm="1">
        <f t="array" ref="I30">IF(E30="Abstract","a",LOWER(_xlfn.CONCAT(LEFT(INDEX(_xlfn.TEXTSPLIT(E30," "),1),1),INDEX(_xlfn.TEXTSPLIT(E30," "),2))))</f>
        <v>s1</v>
      </c>
    </row>
    <row r="31" spans="1:9" x14ac:dyDescent="0.2">
      <c r="A31" t="str">
        <f t="shared" si="0"/>
        <v>acsmacrolett/1c00776_a</v>
      </c>
      <c r="B31" t="s">
        <v>21</v>
      </c>
      <c r="C31" s="1" t="s">
        <v>216</v>
      </c>
      <c r="D31" t="s">
        <v>132</v>
      </c>
      <c r="E31" t="s">
        <v>49</v>
      </c>
      <c r="F31" t="s">
        <v>82</v>
      </c>
      <c r="G31">
        <v>1</v>
      </c>
      <c r="H31" t="str" cm="1">
        <f t="array" ref="H31">INDEX(_xlfn.TEXTSPLIT(INDEX(_xlfn.TEXTSPLIT(C31, "/"), 5), "."), 1)</f>
        <v>acsmacrolett</v>
      </c>
      <c r="I31" t="str" cm="1">
        <f t="array" ref="I31">IF(E31="Abstract","a",LOWER(_xlfn.CONCAT(LEFT(INDEX(_xlfn.TEXTSPLIT(E31," "),1),1),INDEX(_xlfn.TEXTSPLIT(E31," "),2))))</f>
        <v>a</v>
      </c>
    </row>
    <row r="32" spans="1:9" x14ac:dyDescent="0.2">
      <c r="A32" t="str">
        <f t="shared" si="0"/>
        <v>acsmacrolett/1c00776_f1</v>
      </c>
      <c r="B32" t="s">
        <v>21</v>
      </c>
      <c r="C32" s="1" t="s">
        <v>216</v>
      </c>
      <c r="D32" t="s">
        <v>132</v>
      </c>
      <c r="E32" t="s">
        <v>36</v>
      </c>
      <c r="F32" t="s">
        <v>82</v>
      </c>
      <c r="G32">
        <v>2</v>
      </c>
      <c r="H32" t="str" cm="1">
        <f t="array" ref="H32">INDEX(_xlfn.TEXTSPLIT(INDEX(_xlfn.TEXTSPLIT(C32, "/"), 5), "."), 1)</f>
        <v>acsmacrolett</v>
      </c>
      <c r="I32" t="str" cm="1">
        <f t="array" ref="I32">IF(E32="Abstract","a",LOWER(_xlfn.CONCAT(LEFT(INDEX(_xlfn.TEXTSPLIT(E32," "),1),1),INDEX(_xlfn.TEXTSPLIT(E32," "),2))))</f>
        <v>f1</v>
      </c>
    </row>
    <row r="33" spans="1:9" x14ac:dyDescent="0.2">
      <c r="A33" t="str">
        <f t="shared" si="0"/>
        <v>acsmacrolett/1c00776_f2</v>
      </c>
      <c r="B33" t="s">
        <v>21</v>
      </c>
      <c r="C33" s="1" t="s">
        <v>216</v>
      </c>
      <c r="D33" t="s">
        <v>132</v>
      </c>
      <c r="E33" t="s">
        <v>37</v>
      </c>
      <c r="F33" t="s">
        <v>82</v>
      </c>
      <c r="G33">
        <v>1</v>
      </c>
      <c r="H33" t="str" cm="1">
        <f t="array" ref="H33">INDEX(_xlfn.TEXTSPLIT(INDEX(_xlfn.TEXTSPLIT(C33, "/"), 5), "."), 1)</f>
        <v>acsmacrolett</v>
      </c>
      <c r="I33" t="str" cm="1">
        <f t="array" ref="I33">IF(E33="Abstract","a",LOWER(_xlfn.CONCAT(LEFT(INDEX(_xlfn.TEXTSPLIT(E33," "),1),1),INDEX(_xlfn.TEXTSPLIT(E33," "),2))))</f>
        <v>f2</v>
      </c>
    </row>
    <row r="34" spans="1:9" x14ac:dyDescent="0.2">
      <c r="A34" t="str">
        <f t="shared" si="0"/>
        <v>acsmacrolett/1c00776_f3</v>
      </c>
      <c r="B34" t="s">
        <v>21</v>
      </c>
      <c r="C34" s="1" t="s">
        <v>216</v>
      </c>
      <c r="D34" t="s">
        <v>132</v>
      </c>
      <c r="E34" t="s">
        <v>69</v>
      </c>
      <c r="F34" t="s">
        <v>82</v>
      </c>
      <c r="G34">
        <v>4</v>
      </c>
      <c r="H34" t="str" cm="1">
        <f t="array" ref="H34">INDEX(_xlfn.TEXTSPLIT(INDEX(_xlfn.TEXTSPLIT(C34, "/"), 5), "."), 1)</f>
        <v>acsmacrolett</v>
      </c>
      <c r="I34" t="str" cm="1">
        <f t="array" ref="I34">IF(E34="Abstract","a",LOWER(_xlfn.CONCAT(LEFT(INDEX(_xlfn.TEXTSPLIT(E34," "),1),1),INDEX(_xlfn.TEXTSPLIT(E34," "),2))))</f>
        <v>f3</v>
      </c>
    </row>
    <row r="35" spans="1:9" x14ac:dyDescent="0.2">
      <c r="A35" t="str">
        <f t="shared" si="0"/>
        <v>acsmacrolett/2c00004_f1</v>
      </c>
      <c r="B35" t="s">
        <v>21</v>
      </c>
      <c r="C35" s="1" t="s">
        <v>217</v>
      </c>
      <c r="D35" t="s">
        <v>132</v>
      </c>
      <c r="E35" t="s">
        <v>36</v>
      </c>
      <c r="F35" t="s">
        <v>82</v>
      </c>
      <c r="G35">
        <v>2</v>
      </c>
      <c r="H35" t="str" cm="1">
        <f t="array" ref="H35">INDEX(_xlfn.TEXTSPLIT(INDEX(_xlfn.TEXTSPLIT(C35, "/"), 5), "."), 1)</f>
        <v>acsmacrolett</v>
      </c>
      <c r="I35" t="str" cm="1">
        <f t="array" ref="I35">IF(E35="Abstract","a",LOWER(_xlfn.CONCAT(LEFT(INDEX(_xlfn.TEXTSPLIT(E35," "),1),1),INDEX(_xlfn.TEXTSPLIT(E35," "),2))))</f>
        <v>f1</v>
      </c>
    </row>
    <row r="36" spans="1:9" x14ac:dyDescent="0.2">
      <c r="A36" t="str">
        <f t="shared" si="0"/>
        <v>acsmacrolett/2c00004_s2</v>
      </c>
      <c r="B36" t="s">
        <v>21</v>
      </c>
      <c r="C36" s="1" t="s">
        <v>217</v>
      </c>
      <c r="D36" t="s">
        <v>132</v>
      </c>
      <c r="E36" t="s">
        <v>41</v>
      </c>
      <c r="F36" t="s">
        <v>82</v>
      </c>
      <c r="G36">
        <v>1</v>
      </c>
      <c r="H36" t="str" cm="1">
        <f t="array" ref="H36">INDEX(_xlfn.TEXTSPLIT(INDEX(_xlfn.TEXTSPLIT(C36, "/"), 5), "."), 1)</f>
        <v>acsmacrolett</v>
      </c>
      <c r="I36" t="str" cm="1">
        <f t="array" ref="I36">IF(E36="Abstract","a",LOWER(_xlfn.CONCAT(LEFT(INDEX(_xlfn.TEXTSPLIT(E36," "),1),1),INDEX(_xlfn.TEXTSPLIT(E36," "),2))))</f>
        <v>s2</v>
      </c>
    </row>
    <row r="37" spans="1:9" x14ac:dyDescent="0.2">
      <c r="A37" t="str">
        <f t="shared" si="0"/>
        <v>acsmacrolett/2c00004_s3</v>
      </c>
      <c r="B37" t="s">
        <v>21</v>
      </c>
      <c r="C37" s="1" t="s">
        <v>217</v>
      </c>
      <c r="D37" t="s">
        <v>132</v>
      </c>
      <c r="E37" t="s">
        <v>43</v>
      </c>
      <c r="F37" t="s">
        <v>82</v>
      </c>
      <c r="G37">
        <v>2</v>
      </c>
      <c r="H37" t="str" cm="1">
        <f t="array" ref="H37">INDEX(_xlfn.TEXTSPLIT(INDEX(_xlfn.TEXTSPLIT(C37, "/"), 5), "."), 1)</f>
        <v>acsmacrolett</v>
      </c>
      <c r="I37" t="str" cm="1">
        <f t="array" ref="I37">IF(E37="Abstract","a",LOWER(_xlfn.CONCAT(LEFT(INDEX(_xlfn.TEXTSPLIT(E37," "),1),1),INDEX(_xlfn.TEXTSPLIT(E37," "),2))))</f>
        <v>s3</v>
      </c>
    </row>
    <row r="38" spans="1:9" x14ac:dyDescent="0.2">
      <c r="A38" t="str">
        <f t="shared" si="0"/>
        <v>acsmacrolett/2c00136_f1</v>
      </c>
      <c r="B38" t="s">
        <v>21</v>
      </c>
      <c r="C38" s="1" t="s">
        <v>215</v>
      </c>
      <c r="D38" t="s">
        <v>132</v>
      </c>
      <c r="E38" t="s">
        <v>36</v>
      </c>
      <c r="F38" t="s">
        <v>81</v>
      </c>
      <c r="G38">
        <v>4</v>
      </c>
      <c r="H38" t="str" cm="1">
        <f t="array" ref="H38">INDEX(_xlfn.TEXTSPLIT(INDEX(_xlfn.TEXTSPLIT(C38, "/"), 5), "."), 1)</f>
        <v>acsmacrolett</v>
      </c>
      <c r="I38" t="str" cm="1">
        <f t="array" ref="I38">IF(E38="Abstract","a",LOWER(_xlfn.CONCAT(LEFT(INDEX(_xlfn.TEXTSPLIT(E38," "),1),1),INDEX(_xlfn.TEXTSPLIT(E38," "),2))))</f>
        <v>f1</v>
      </c>
    </row>
    <row r="39" spans="1:9" x14ac:dyDescent="0.2">
      <c r="A39" t="str">
        <f t="shared" si="0"/>
        <v>acsmacrolett/2c00302_f1</v>
      </c>
      <c r="B39" t="s">
        <v>21</v>
      </c>
      <c r="C39" s="1" t="s">
        <v>240</v>
      </c>
      <c r="D39" t="s">
        <v>132</v>
      </c>
      <c r="E39" t="s">
        <v>36</v>
      </c>
      <c r="F39" t="s">
        <v>81</v>
      </c>
      <c r="G39">
        <v>2</v>
      </c>
      <c r="H39" t="str" cm="1">
        <f t="array" ref="H39">INDEX(_xlfn.TEXTSPLIT(INDEX(_xlfn.TEXTSPLIT(C39, "/"), 5), "."), 1)</f>
        <v>acsmacrolett</v>
      </c>
      <c r="I39" t="str" cm="1">
        <f t="array" ref="I39">IF(E39="Abstract","a",LOWER(_xlfn.CONCAT(LEFT(INDEX(_xlfn.TEXTSPLIT(E39," "),1),1),INDEX(_xlfn.TEXTSPLIT(E39," "),2))))</f>
        <v>f1</v>
      </c>
    </row>
    <row r="40" spans="1:9" x14ac:dyDescent="0.2">
      <c r="A40" t="str">
        <f t="shared" si="0"/>
        <v>acsmacrolett/2c00302_f2</v>
      </c>
      <c r="B40" t="s">
        <v>21</v>
      </c>
      <c r="C40" s="1" t="s">
        <v>240</v>
      </c>
      <c r="D40" t="s">
        <v>132</v>
      </c>
      <c r="E40" t="s">
        <v>37</v>
      </c>
      <c r="F40" t="s">
        <v>81</v>
      </c>
      <c r="G40">
        <v>6</v>
      </c>
      <c r="H40" t="str" cm="1">
        <f t="array" ref="H40">INDEX(_xlfn.TEXTSPLIT(INDEX(_xlfn.TEXTSPLIT(C40, "/"), 5), "."), 1)</f>
        <v>acsmacrolett</v>
      </c>
      <c r="I40" t="str" cm="1">
        <f t="array" ref="I40">IF(E40="Abstract","a",LOWER(_xlfn.CONCAT(LEFT(INDEX(_xlfn.TEXTSPLIT(E40," "),1),1),INDEX(_xlfn.TEXTSPLIT(E40," "),2))))</f>
        <v>f2</v>
      </c>
    </row>
    <row r="41" spans="1:9" x14ac:dyDescent="0.2">
      <c r="A41" t="str">
        <f t="shared" si="0"/>
        <v>acsmacrolett/2c00302_s1</v>
      </c>
      <c r="B41" t="s">
        <v>21</v>
      </c>
      <c r="C41" s="1" t="s">
        <v>240</v>
      </c>
      <c r="D41" t="s">
        <v>132</v>
      </c>
      <c r="E41" t="s">
        <v>40</v>
      </c>
      <c r="F41" t="s">
        <v>81</v>
      </c>
      <c r="G41">
        <v>1</v>
      </c>
      <c r="H41" t="str" cm="1">
        <f t="array" ref="H41">INDEX(_xlfn.TEXTSPLIT(INDEX(_xlfn.TEXTSPLIT(C41, "/"), 5), "."), 1)</f>
        <v>acsmacrolett</v>
      </c>
      <c r="I41" t="str" cm="1">
        <f t="array" ref="I41">IF(E41="Abstract","a",LOWER(_xlfn.CONCAT(LEFT(INDEX(_xlfn.TEXTSPLIT(E41," "),1),1),INDEX(_xlfn.TEXTSPLIT(E41," "),2))))</f>
        <v>s1</v>
      </c>
    </row>
    <row r="42" spans="1:9" x14ac:dyDescent="0.2">
      <c r="A42" t="str">
        <f t="shared" si="0"/>
        <v>acsmacrolett/2c00359_f1</v>
      </c>
      <c r="B42" t="s">
        <v>21</v>
      </c>
      <c r="C42" s="1" t="s">
        <v>239</v>
      </c>
      <c r="D42" t="s">
        <v>132</v>
      </c>
      <c r="E42" t="s">
        <v>36</v>
      </c>
      <c r="F42" t="s">
        <v>82</v>
      </c>
      <c r="G42">
        <v>2</v>
      </c>
      <c r="H42" t="str" cm="1">
        <f t="array" ref="H42">INDEX(_xlfn.TEXTSPLIT(INDEX(_xlfn.TEXTSPLIT(C42, "/"), 5), "."), 1)</f>
        <v>acsmacrolett</v>
      </c>
      <c r="I42" t="str" cm="1">
        <f t="array" ref="I42">IF(E42="Abstract","a",LOWER(_xlfn.CONCAT(LEFT(INDEX(_xlfn.TEXTSPLIT(E42," "),1),1),INDEX(_xlfn.TEXTSPLIT(E42," "),2))))</f>
        <v>f1</v>
      </c>
    </row>
    <row r="43" spans="1:9" x14ac:dyDescent="0.2">
      <c r="A43" t="str">
        <f t="shared" si="0"/>
        <v>acsmacrolett/2c00455_f1</v>
      </c>
      <c r="B43" t="s">
        <v>21</v>
      </c>
      <c r="C43" s="1" t="s">
        <v>238</v>
      </c>
      <c r="D43" t="s">
        <v>132</v>
      </c>
      <c r="E43" t="s">
        <v>36</v>
      </c>
      <c r="F43" t="s">
        <v>82</v>
      </c>
      <c r="G43">
        <v>1</v>
      </c>
      <c r="H43" t="str" cm="1">
        <f t="array" ref="H43">INDEX(_xlfn.TEXTSPLIT(INDEX(_xlfn.TEXTSPLIT(C43, "/"), 5), "."), 1)</f>
        <v>acsmacrolett</v>
      </c>
      <c r="I43" t="str" cm="1">
        <f t="array" ref="I43">IF(E43="Abstract","a",LOWER(_xlfn.CONCAT(LEFT(INDEX(_xlfn.TEXTSPLIT(E43," "),1),1),INDEX(_xlfn.TEXTSPLIT(E43," "),2))))</f>
        <v>f1</v>
      </c>
    </row>
    <row r="44" spans="1:9" x14ac:dyDescent="0.2">
      <c r="A44" t="str">
        <f t="shared" si="0"/>
        <v>acsmacrolett/2c00506_f1</v>
      </c>
      <c r="B44" t="s">
        <v>21</v>
      </c>
      <c r="C44" s="1" t="s">
        <v>237</v>
      </c>
      <c r="D44" t="s">
        <v>132</v>
      </c>
      <c r="E44" t="s">
        <v>36</v>
      </c>
      <c r="F44" t="s">
        <v>81</v>
      </c>
      <c r="G44">
        <v>3</v>
      </c>
      <c r="H44" t="str" cm="1">
        <f t="array" ref="H44">INDEX(_xlfn.TEXTSPLIT(INDEX(_xlfn.TEXTSPLIT(C44, "/"), 5), "."), 1)</f>
        <v>acsmacrolett</v>
      </c>
      <c r="I44" t="str" cm="1">
        <f t="array" ref="I44">IF(E44="Abstract","a",LOWER(_xlfn.CONCAT(LEFT(INDEX(_xlfn.TEXTSPLIT(E44," "),1),1),INDEX(_xlfn.TEXTSPLIT(E44," "),2))))</f>
        <v>f1</v>
      </c>
    </row>
    <row r="45" spans="1:9" x14ac:dyDescent="0.2">
      <c r="A45" t="str">
        <f t="shared" si="0"/>
        <v>acsmacrolett/2c00506_f4</v>
      </c>
      <c r="B45" t="s">
        <v>21</v>
      </c>
      <c r="C45" s="1" t="s">
        <v>237</v>
      </c>
      <c r="D45" t="s">
        <v>132</v>
      </c>
      <c r="E45" t="s">
        <v>34</v>
      </c>
      <c r="F45" t="s">
        <v>81</v>
      </c>
      <c r="G45">
        <v>3</v>
      </c>
      <c r="H45" t="str" cm="1">
        <f t="array" ref="H45">INDEX(_xlfn.TEXTSPLIT(INDEX(_xlfn.TEXTSPLIT(C45, "/"), 5), "."), 1)</f>
        <v>acsmacrolett</v>
      </c>
      <c r="I45" t="str" cm="1">
        <f t="array" ref="I45">IF(E45="Abstract","a",LOWER(_xlfn.CONCAT(LEFT(INDEX(_xlfn.TEXTSPLIT(E45," "),1),1),INDEX(_xlfn.TEXTSPLIT(E45," "),2))))</f>
        <v>f4</v>
      </c>
    </row>
    <row r="46" spans="1:9" x14ac:dyDescent="0.2">
      <c r="A46" t="str">
        <f t="shared" si="0"/>
        <v>acsmacrolett/2c00672_f3</v>
      </c>
      <c r="B46" t="s">
        <v>21</v>
      </c>
      <c r="C46" s="1" t="s">
        <v>236</v>
      </c>
      <c r="D46" t="s">
        <v>132</v>
      </c>
      <c r="E46" t="s">
        <v>69</v>
      </c>
      <c r="F46" t="s">
        <v>82</v>
      </c>
      <c r="G46">
        <v>3</v>
      </c>
      <c r="H46" t="str" cm="1">
        <f t="array" ref="H46">INDEX(_xlfn.TEXTSPLIT(INDEX(_xlfn.TEXTSPLIT(C46, "/"), 5), "."), 1)</f>
        <v>acsmacrolett</v>
      </c>
      <c r="I46" t="str" cm="1">
        <f t="array" ref="I46">IF(E46="Abstract","a",LOWER(_xlfn.CONCAT(LEFT(INDEX(_xlfn.TEXTSPLIT(E46," "),1),1),INDEX(_xlfn.TEXTSPLIT(E46," "),2))))</f>
        <v>f3</v>
      </c>
    </row>
    <row r="47" spans="1:9" x14ac:dyDescent="0.2">
      <c r="A47" t="str">
        <f t="shared" si="0"/>
        <v>acsmacrolett/2c00672_s1</v>
      </c>
      <c r="B47" t="s">
        <v>21</v>
      </c>
      <c r="C47" s="1" t="s">
        <v>236</v>
      </c>
      <c r="D47" t="s">
        <v>132</v>
      </c>
      <c r="E47" t="s">
        <v>40</v>
      </c>
      <c r="F47" t="s">
        <v>82</v>
      </c>
      <c r="G47">
        <v>3</v>
      </c>
      <c r="H47" t="str" cm="1">
        <f t="array" ref="H47">INDEX(_xlfn.TEXTSPLIT(INDEX(_xlfn.TEXTSPLIT(C47, "/"), 5), "."), 1)</f>
        <v>acsmacrolett</v>
      </c>
      <c r="I47" t="str" cm="1">
        <f t="array" ref="I47">IF(E47="Abstract","a",LOWER(_xlfn.CONCAT(LEFT(INDEX(_xlfn.TEXTSPLIT(E47," "),1),1),INDEX(_xlfn.TEXTSPLIT(E47," "),2))))</f>
        <v>s1</v>
      </c>
    </row>
    <row r="48" spans="1:9" x14ac:dyDescent="0.2">
      <c r="A48" t="str">
        <f t="shared" si="0"/>
        <v>acsmacrolett/2c00699_a</v>
      </c>
      <c r="B48" t="s">
        <v>21</v>
      </c>
      <c r="C48" s="1" t="s">
        <v>232</v>
      </c>
      <c r="D48" t="s">
        <v>132</v>
      </c>
      <c r="E48" t="s">
        <v>49</v>
      </c>
      <c r="F48" t="s">
        <v>82</v>
      </c>
      <c r="G48">
        <v>1</v>
      </c>
      <c r="H48" t="str" cm="1">
        <f t="array" ref="H48">INDEX(_xlfn.TEXTSPLIT(INDEX(_xlfn.TEXTSPLIT(C48, "/"), 5), "."), 1)</f>
        <v>acsmacrolett</v>
      </c>
      <c r="I48" t="str" cm="1">
        <f t="array" ref="I48">IF(E48="Abstract","a",LOWER(_xlfn.CONCAT(LEFT(INDEX(_xlfn.TEXTSPLIT(E48," "),1),1),INDEX(_xlfn.TEXTSPLIT(E48," "),2))))</f>
        <v>a</v>
      </c>
    </row>
    <row r="49" spans="1:9" x14ac:dyDescent="0.2">
      <c r="A49" t="str">
        <f t="shared" si="0"/>
        <v>acsmacrolett/2c00699_f2</v>
      </c>
      <c r="B49" t="s">
        <v>21</v>
      </c>
      <c r="C49" s="1" t="s">
        <v>232</v>
      </c>
      <c r="D49" t="s">
        <v>132</v>
      </c>
      <c r="E49" t="s">
        <v>37</v>
      </c>
      <c r="F49" t="s">
        <v>82</v>
      </c>
      <c r="G49">
        <v>1</v>
      </c>
      <c r="H49" t="str" cm="1">
        <f t="array" ref="H49">INDEX(_xlfn.TEXTSPLIT(INDEX(_xlfn.TEXTSPLIT(C49, "/"), 5), "."), 1)</f>
        <v>acsmacrolett</v>
      </c>
      <c r="I49" t="str" cm="1">
        <f t="array" ref="I49">IF(E49="Abstract","a",LOWER(_xlfn.CONCAT(LEFT(INDEX(_xlfn.TEXTSPLIT(E49," "),1),1),INDEX(_xlfn.TEXTSPLIT(E49," "),2))))</f>
        <v>f2</v>
      </c>
    </row>
    <row r="50" spans="1:9" x14ac:dyDescent="0.2">
      <c r="A50" t="str">
        <f t="shared" si="0"/>
        <v>acsmacrolett/2c00701_f2</v>
      </c>
      <c r="B50" t="s">
        <v>21</v>
      </c>
      <c r="C50" s="1" t="s">
        <v>233</v>
      </c>
      <c r="D50" t="s">
        <v>132</v>
      </c>
      <c r="E50" t="s">
        <v>37</v>
      </c>
      <c r="F50" t="s">
        <v>82</v>
      </c>
      <c r="G50">
        <v>6</v>
      </c>
      <c r="H50" t="str" cm="1">
        <f t="array" ref="H50">INDEX(_xlfn.TEXTSPLIT(INDEX(_xlfn.TEXTSPLIT(C50, "/"), 5), "."), 1)</f>
        <v>acsmacrolett</v>
      </c>
      <c r="I50" t="str" cm="1">
        <f t="array" ref="I50">IF(E50="Abstract","a",LOWER(_xlfn.CONCAT(LEFT(INDEX(_xlfn.TEXTSPLIT(E50," "),1),1),INDEX(_xlfn.TEXTSPLIT(E50," "),2))))</f>
        <v>f2</v>
      </c>
    </row>
    <row r="51" spans="1:9" x14ac:dyDescent="0.2">
      <c r="A51" t="str">
        <f t="shared" si="0"/>
        <v>acsmacrolett/2c00737_f2</v>
      </c>
      <c r="B51" t="s">
        <v>21</v>
      </c>
      <c r="C51" s="1" t="s">
        <v>229</v>
      </c>
      <c r="D51" t="s">
        <v>132</v>
      </c>
      <c r="E51" t="s">
        <v>37</v>
      </c>
      <c r="F51" t="s">
        <v>82</v>
      </c>
      <c r="G51">
        <v>2</v>
      </c>
      <c r="H51" t="str" cm="1">
        <f t="array" ref="H51">INDEX(_xlfn.TEXTSPLIT(INDEX(_xlfn.TEXTSPLIT(C51, "/"), 5), "."), 1)</f>
        <v>acsmacrolett</v>
      </c>
      <c r="I51" t="str" cm="1">
        <f t="array" ref="I51">IF(E51="Abstract","a",LOWER(_xlfn.CONCAT(LEFT(INDEX(_xlfn.TEXTSPLIT(E51," "),1),1),INDEX(_xlfn.TEXTSPLIT(E51," "),2))))</f>
        <v>f2</v>
      </c>
    </row>
    <row r="52" spans="1:9" x14ac:dyDescent="0.2">
      <c r="A52" t="str">
        <f t="shared" si="0"/>
        <v>acsmacrolett/2c00737_s1</v>
      </c>
      <c r="B52" t="s">
        <v>21</v>
      </c>
      <c r="C52" s="1" t="s">
        <v>229</v>
      </c>
      <c r="D52" t="s">
        <v>132</v>
      </c>
      <c r="E52" t="s">
        <v>40</v>
      </c>
      <c r="F52" t="s">
        <v>82</v>
      </c>
      <c r="G52">
        <v>3</v>
      </c>
      <c r="H52" t="str" cm="1">
        <f t="array" ref="H52">INDEX(_xlfn.TEXTSPLIT(INDEX(_xlfn.TEXTSPLIT(C52, "/"), 5), "."), 1)</f>
        <v>acsmacrolett</v>
      </c>
      <c r="I52" t="str" cm="1">
        <f t="array" ref="I52">IF(E52="Abstract","a",LOWER(_xlfn.CONCAT(LEFT(INDEX(_xlfn.TEXTSPLIT(E52," "),1),1),INDEX(_xlfn.TEXTSPLIT(E52," "),2))))</f>
        <v>s1</v>
      </c>
    </row>
    <row r="53" spans="1:9" x14ac:dyDescent="0.2">
      <c r="A53" t="str">
        <f t="shared" si="0"/>
        <v>acsmacrolett/2c00743_s1</v>
      </c>
      <c r="B53" t="s">
        <v>21</v>
      </c>
      <c r="C53" s="1" t="s">
        <v>234</v>
      </c>
      <c r="D53" t="s">
        <v>132</v>
      </c>
      <c r="E53" t="s">
        <v>40</v>
      </c>
      <c r="F53" t="s">
        <v>82</v>
      </c>
      <c r="G53">
        <v>2</v>
      </c>
      <c r="H53" t="str" cm="1">
        <f t="array" ref="H53">INDEX(_xlfn.TEXTSPLIT(INDEX(_xlfn.TEXTSPLIT(C53, "/"), 5), "."), 1)</f>
        <v>acsmacrolett</v>
      </c>
      <c r="I53" t="str" cm="1">
        <f t="array" ref="I53">IF(E53="Abstract","a",LOWER(_xlfn.CONCAT(LEFT(INDEX(_xlfn.TEXTSPLIT(E53," "),1),1),INDEX(_xlfn.TEXTSPLIT(E53," "),2))))</f>
        <v>s1</v>
      </c>
    </row>
    <row r="54" spans="1:9" x14ac:dyDescent="0.2">
      <c r="A54" t="str">
        <f t="shared" si="0"/>
        <v>acsmacrolett/3c00021_c1</v>
      </c>
      <c r="B54" t="s">
        <v>21</v>
      </c>
      <c r="C54" s="1" t="s">
        <v>230</v>
      </c>
      <c r="D54" t="s">
        <v>132</v>
      </c>
      <c r="E54" t="s">
        <v>231</v>
      </c>
      <c r="F54" t="s">
        <v>81</v>
      </c>
      <c r="G54">
        <v>1</v>
      </c>
      <c r="H54" t="str" cm="1">
        <f t="array" ref="H54">INDEX(_xlfn.TEXTSPLIT(INDEX(_xlfn.TEXTSPLIT(C54, "/"), 5), "."), 1)</f>
        <v>acsmacrolett</v>
      </c>
      <c r="I54" t="str" cm="1">
        <f t="array" ref="I54">IF(E54="Abstract","a",LOWER(_xlfn.CONCAT(LEFT(INDEX(_xlfn.TEXTSPLIT(E54," "),1),1),INDEX(_xlfn.TEXTSPLIT(E54," "),2))))</f>
        <v>c1</v>
      </c>
    </row>
    <row r="55" spans="1:9" x14ac:dyDescent="0.2">
      <c r="A55" t="str">
        <f t="shared" si="0"/>
        <v>acsmacrolett/3c00044_f1</v>
      </c>
      <c r="B55" t="s">
        <v>21</v>
      </c>
      <c r="C55" s="1" t="s">
        <v>227</v>
      </c>
      <c r="D55" t="s">
        <v>132</v>
      </c>
      <c r="E55" t="s">
        <v>36</v>
      </c>
      <c r="F55" t="s">
        <v>81</v>
      </c>
      <c r="G55">
        <v>1</v>
      </c>
      <c r="H55" t="str" cm="1">
        <f t="array" ref="H55">INDEX(_xlfn.TEXTSPLIT(INDEX(_xlfn.TEXTSPLIT(C55, "/"), 5), "."), 1)</f>
        <v>acsmacrolett</v>
      </c>
      <c r="I55" t="str" cm="1">
        <f t="array" ref="I55">IF(E55="Abstract","a",LOWER(_xlfn.CONCAT(LEFT(INDEX(_xlfn.TEXTSPLIT(E55," "),1),1),INDEX(_xlfn.TEXTSPLIT(E55," "),2))))</f>
        <v>f1</v>
      </c>
    </row>
    <row r="56" spans="1:9" x14ac:dyDescent="0.2">
      <c r="A56" t="str">
        <f t="shared" si="0"/>
        <v>acsmacrolett/3c00055_f1</v>
      </c>
      <c r="B56" t="s">
        <v>21</v>
      </c>
      <c r="C56" s="1" t="s">
        <v>228</v>
      </c>
      <c r="D56" t="s">
        <v>132</v>
      </c>
      <c r="E56" t="s">
        <v>36</v>
      </c>
      <c r="F56" t="s">
        <v>82</v>
      </c>
      <c r="G56">
        <v>1</v>
      </c>
      <c r="H56" t="str" cm="1">
        <f t="array" ref="H56">INDEX(_xlfn.TEXTSPLIT(INDEX(_xlfn.TEXTSPLIT(C56, "/"), 5), "."), 1)</f>
        <v>acsmacrolett</v>
      </c>
      <c r="I56" t="str" cm="1">
        <f t="array" ref="I56">IF(E56="Abstract","a",LOWER(_xlfn.CONCAT(LEFT(INDEX(_xlfn.TEXTSPLIT(E56," "),1),1),INDEX(_xlfn.TEXTSPLIT(E56," "),2))))</f>
        <v>f1</v>
      </c>
    </row>
    <row r="57" spans="1:9" x14ac:dyDescent="0.2">
      <c r="A57" t="str">
        <f t="shared" si="0"/>
        <v>acsmacrolett/3c00208_f1</v>
      </c>
      <c r="B57" t="s">
        <v>21</v>
      </c>
      <c r="C57" s="1" t="s">
        <v>247</v>
      </c>
      <c r="D57" t="s">
        <v>132</v>
      </c>
      <c r="E57" t="s">
        <v>36</v>
      </c>
      <c r="F57" t="s">
        <v>82</v>
      </c>
      <c r="G57">
        <v>2</v>
      </c>
      <c r="H57" t="str" cm="1">
        <f t="array" ref="H57">INDEX(_xlfn.TEXTSPLIT(INDEX(_xlfn.TEXTSPLIT(C57, "/"), 5), "."), 1)</f>
        <v>acsmacrolett</v>
      </c>
      <c r="I57" t="str" cm="1">
        <f t="array" ref="I57">IF(E57="Abstract","a",LOWER(_xlfn.CONCAT(LEFT(INDEX(_xlfn.TEXTSPLIT(E57," "),1),1),INDEX(_xlfn.TEXTSPLIT(E57," "),2))))</f>
        <v>f1</v>
      </c>
    </row>
    <row r="58" spans="1:9" x14ac:dyDescent="0.2">
      <c r="A58" t="str">
        <f t="shared" si="0"/>
        <v>acsmacrolett/3c00217_f1</v>
      </c>
      <c r="B58" t="s">
        <v>21</v>
      </c>
      <c r="C58" s="1" t="s">
        <v>249</v>
      </c>
      <c r="D58" t="s">
        <v>132</v>
      </c>
      <c r="E58" t="s">
        <v>36</v>
      </c>
      <c r="F58" t="s">
        <v>82</v>
      </c>
      <c r="G58">
        <v>2</v>
      </c>
      <c r="H58" t="str" cm="1">
        <f t="array" ref="H58">INDEX(_xlfn.TEXTSPLIT(INDEX(_xlfn.TEXTSPLIT(C58, "/"), 5), "."), 1)</f>
        <v>acsmacrolett</v>
      </c>
      <c r="I58" t="str" cm="1">
        <f t="array" ref="I58">IF(E58="Abstract","a",LOWER(_xlfn.CONCAT(LEFT(INDEX(_xlfn.TEXTSPLIT(E58," "),1),1),INDEX(_xlfn.TEXTSPLIT(E58," "),2))))</f>
        <v>f1</v>
      </c>
    </row>
    <row r="59" spans="1:9" x14ac:dyDescent="0.2">
      <c r="A59" t="str">
        <f t="shared" si="0"/>
        <v>acsmacrolett/3c00276_f3</v>
      </c>
      <c r="B59" t="s">
        <v>21</v>
      </c>
      <c r="C59" s="1" t="s">
        <v>245</v>
      </c>
      <c r="D59" t="s">
        <v>132</v>
      </c>
      <c r="E59" t="s">
        <v>69</v>
      </c>
      <c r="F59" t="s">
        <v>81</v>
      </c>
      <c r="G59">
        <v>2</v>
      </c>
      <c r="H59" t="str" cm="1">
        <f t="array" ref="H59">INDEX(_xlfn.TEXTSPLIT(INDEX(_xlfn.TEXTSPLIT(C59, "/"), 5), "."), 1)</f>
        <v>acsmacrolett</v>
      </c>
      <c r="I59" t="str" cm="1">
        <f t="array" ref="I59">IF(E59="Abstract","a",LOWER(_xlfn.CONCAT(LEFT(INDEX(_xlfn.TEXTSPLIT(E59," "),1),1),INDEX(_xlfn.TEXTSPLIT(E59," "),2))))</f>
        <v>f3</v>
      </c>
    </row>
    <row r="60" spans="1:9" x14ac:dyDescent="0.2">
      <c r="A60" t="str">
        <f t="shared" si="0"/>
        <v>acsmacrolett/3c00276_f4</v>
      </c>
      <c r="B60" t="s">
        <v>21</v>
      </c>
      <c r="C60" s="1" t="s">
        <v>245</v>
      </c>
      <c r="D60" t="s">
        <v>132</v>
      </c>
      <c r="E60" t="s">
        <v>34</v>
      </c>
      <c r="F60" t="s">
        <v>81</v>
      </c>
      <c r="G60">
        <v>2</v>
      </c>
      <c r="H60" t="str" cm="1">
        <f t="array" ref="H60">INDEX(_xlfn.TEXTSPLIT(INDEX(_xlfn.TEXTSPLIT(C60, "/"), 5), "."), 1)</f>
        <v>acsmacrolett</v>
      </c>
      <c r="I60" t="str" cm="1">
        <f t="array" ref="I60">IF(E60="Abstract","a",LOWER(_xlfn.CONCAT(LEFT(INDEX(_xlfn.TEXTSPLIT(E60," "),1),1),INDEX(_xlfn.TEXTSPLIT(E60," "),2))))</f>
        <v>f4</v>
      </c>
    </row>
    <row r="61" spans="1:9" x14ac:dyDescent="0.2">
      <c r="A61" t="str">
        <f t="shared" si="0"/>
        <v>acsmacrolett/3c00355_a</v>
      </c>
      <c r="B61" t="s">
        <v>21</v>
      </c>
      <c r="C61" s="1" t="s">
        <v>248</v>
      </c>
      <c r="D61" t="s">
        <v>132</v>
      </c>
      <c r="E61" t="s">
        <v>49</v>
      </c>
      <c r="F61" t="s">
        <v>82</v>
      </c>
      <c r="G61">
        <v>3</v>
      </c>
      <c r="H61" t="str" cm="1">
        <f t="array" ref="H61">INDEX(_xlfn.TEXTSPLIT(INDEX(_xlfn.TEXTSPLIT(C61, "/"), 5), "."), 1)</f>
        <v>acsmacrolett</v>
      </c>
      <c r="I61" t="str" cm="1">
        <f t="array" ref="I61">IF(E61="Abstract","a",LOWER(_xlfn.CONCAT(LEFT(INDEX(_xlfn.TEXTSPLIT(E61," "),1),1),INDEX(_xlfn.TEXTSPLIT(E61," "),2))))</f>
        <v>a</v>
      </c>
    </row>
    <row r="62" spans="1:9" x14ac:dyDescent="0.2">
      <c r="A62" t="str">
        <f t="shared" si="0"/>
        <v>acsmacrolett/3c00371_f1</v>
      </c>
      <c r="B62" t="s">
        <v>21</v>
      </c>
      <c r="C62" s="1" t="s">
        <v>242</v>
      </c>
      <c r="D62" t="s">
        <v>132</v>
      </c>
      <c r="E62" t="s">
        <v>36</v>
      </c>
      <c r="F62" t="s">
        <v>82</v>
      </c>
      <c r="G62">
        <v>6</v>
      </c>
      <c r="H62" t="str" cm="1">
        <f t="array" ref="H62">INDEX(_xlfn.TEXTSPLIT(INDEX(_xlfn.TEXTSPLIT(C62, "/"), 5), "."), 1)</f>
        <v>acsmacrolett</v>
      </c>
      <c r="I62" t="str" cm="1">
        <f t="array" ref="I62">IF(E62="Abstract","a",LOWER(_xlfn.CONCAT(LEFT(INDEX(_xlfn.TEXTSPLIT(E62," "),1),1),INDEX(_xlfn.TEXTSPLIT(E62," "),2))))</f>
        <v>f1</v>
      </c>
    </row>
    <row r="63" spans="1:9" x14ac:dyDescent="0.2">
      <c r="A63" t="str">
        <f t="shared" si="0"/>
        <v>acsmacrolett/3c00382_f1</v>
      </c>
      <c r="B63" t="s">
        <v>21</v>
      </c>
      <c r="C63" s="1" t="s">
        <v>246</v>
      </c>
      <c r="D63" t="s">
        <v>132</v>
      </c>
      <c r="E63" t="s">
        <v>36</v>
      </c>
      <c r="F63" t="s">
        <v>82</v>
      </c>
      <c r="G63">
        <v>2</v>
      </c>
      <c r="H63" t="str" cm="1">
        <f t="array" ref="H63">INDEX(_xlfn.TEXTSPLIT(INDEX(_xlfn.TEXTSPLIT(C63, "/"), 5), "."), 1)</f>
        <v>acsmacrolett</v>
      </c>
      <c r="I63" t="str" cm="1">
        <f t="array" ref="I63">IF(E63="Abstract","a",LOWER(_xlfn.CONCAT(LEFT(INDEX(_xlfn.TEXTSPLIT(E63," "),1),1),INDEX(_xlfn.TEXTSPLIT(E63," "),2))))</f>
        <v>f1</v>
      </c>
    </row>
    <row r="64" spans="1:9" x14ac:dyDescent="0.2">
      <c r="A64" t="str">
        <f t="shared" si="0"/>
        <v>acsmacrolett/3c00382_f2</v>
      </c>
      <c r="B64" t="s">
        <v>21</v>
      </c>
      <c r="C64" s="1" t="s">
        <v>246</v>
      </c>
      <c r="D64" t="s">
        <v>132</v>
      </c>
      <c r="E64" t="s">
        <v>37</v>
      </c>
      <c r="F64" t="s">
        <v>82</v>
      </c>
      <c r="G64">
        <v>1</v>
      </c>
      <c r="H64" t="str" cm="1">
        <f t="array" ref="H64">INDEX(_xlfn.TEXTSPLIT(INDEX(_xlfn.TEXTSPLIT(C64, "/"), 5), "."), 1)</f>
        <v>acsmacrolett</v>
      </c>
      <c r="I64" t="str" cm="1">
        <f t="array" ref="I64">IF(E64="Abstract","a",LOWER(_xlfn.CONCAT(LEFT(INDEX(_xlfn.TEXTSPLIT(E64," "),1),1),INDEX(_xlfn.TEXTSPLIT(E64," "),2))))</f>
        <v>f2</v>
      </c>
    </row>
    <row r="65" spans="1:9" x14ac:dyDescent="0.2">
      <c r="A65" t="str">
        <f t="shared" si="0"/>
        <v>acsmacrolett/3c00382_f3</v>
      </c>
      <c r="B65" t="s">
        <v>21</v>
      </c>
      <c r="C65" s="1" t="s">
        <v>246</v>
      </c>
      <c r="D65" t="s">
        <v>132</v>
      </c>
      <c r="E65" t="s">
        <v>69</v>
      </c>
      <c r="F65" t="s">
        <v>82</v>
      </c>
      <c r="G65">
        <v>2</v>
      </c>
      <c r="H65" t="str" cm="1">
        <f t="array" ref="H65">INDEX(_xlfn.TEXTSPLIT(INDEX(_xlfn.TEXTSPLIT(C65, "/"), 5), "."), 1)</f>
        <v>acsmacrolett</v>
      </c>
      <c r="I65" t="str" cm="1">
        <f t="array" ref="I65">IF(E65="Abstract","a",LOWER(_xlfn.CONCAT(LEFT(INDEX(_xlfn.TEXTSPLIT(E65," "),1),1),INDEX(_xlfn.TEXTSPLIT(E65," "),2))))</f>
        <v>f3</v>
      </c>
    </row>
    <row r="66" spans="1:9" x14ac:dyDescent="0.2">
      <c r="A66" t="str">
        <f t="shared" ref="A66:A129" si="1">_xlfn.CONCAT(H66, "/",RIGHT(C66,7),"_",IF(D66="SI","si_",""), I66)</f>
        <v>acsmacrolett/3c00382_s1</v>
      </c>
      <c r="B66" t="s">
        <v>21</v>
      </c>
      <c r="C66" s="1" t="s">
        <v>246</v>
      </c>
      <c r="D66" t="s">
        <v>132</v>
      </c>
      <c r="E66" t="s">
        <v>40</v>
      </c>
      <c r="F66" t="s">
        <v>82</v>
      </c>
      <c r="G66">
        <v>2</v>
      </c>
      <c r="H66" t="str" cm="1">
        <f t="array" ref="H66">INDEX(_xlfn.TEXTSPLIT(INDEX(_xlfn.TEXTSPLIT(C66, "/"), 5), "."), 1)</f>
        <v>acsmacrolett</v>
      </c>
      <c r="I66" t="str" cm="1">
        <f t="array" ref="I66">IF(E66="Abstract","a",LOWER(_xlfn.CONCAT(LEFT(INDEX(_xlfn.TEXTSPLIT(E66," "),1),1),INDEX(_xlfn.TEXTSPLIT(E66," "),2))))</f>
        <v>s1</v>
      </c>
    </row>
    <row r="67" spans="1:9" x14ac:dyDescent="0.2">
      <c r="A67" t="str">
        <f t="shared" si="1"/>
        <v>acsmacrolett/3c00389_s1</v>
      </c>
      <c r="B67" t="s">
        <v>21</v>
      </c>
      <c r="C67" s="1" t="s">
        <v>244</v>
      </c>
      <c r="D67" t="s">
        <v>132</v>
      </c>
      <c r="E67" t="s">
        <v>40</v>
      </c>
      <c r="F67" t="s">
        <v>82</v>
      </c>
      <c r="G67">
        <v>8</v>
      </c>
      <c r="H67" t="str" cm="1">
        <f t="array" ref="H67">INDEX(_xlfn.TEXTSPLIT(INDEX(_xlfn.TEXTSPLIT(C67, "/"), 5), "."), 1)</f>
        <v>acsmacrolett</v>
      </c>
      <c r="I67" t="str" cm="1">
        <f t="array" ref="I67">IF(E67="Abstract","a",LOWER(_xlfn.CONCAT(LEFT(INDEX(_xlfn.TEXTSPLIT(E67," "),1),1),INDEX(_xlfn.TEXTSPLIT(E67," "),2))))</f>
        <v>s1</v>
      </c>
    </row>
    <row r="68" spans="1:9" x14ac:dyDescent="0.2">
      <c r="A68" t="str">
        <f t="shared" si="1"/>
        <v>acsmacrolett/3c00397_f2</v>
      </c>
      <c r="B68" t="s">
        <v>21</v>
      </c>
      <c r="C68" s="1" t="s">
        <v>253</v>
      </c>
      <c r="D68" t="s">
        <v>132</v>
      </c>
      <c r="E68" t="s">
        <v>37</v>
      </c>
      <c r="F68" t="s">
        <v>82</v>
      </c>
      <c r="G68">
        <v>4</v>
      </c>
      <c r="H68" t="str" cm="1">
        <f t="array" ref="H68">INDEX(_xlfn.TEXTSPLIT(INDEX(_xlfn.TEXTSPLIT(C68, "/"), 5), "."), 1)</f>
        <v>acsmacrolett</v>
      </c>
      <c r="I68" t="str" cm="1">
        <f t="array" ref="I68">IF(E68="Abstract","a",LOWER(_xlfn.CONCAT(LEFT(INDEX(_xlfn.TEXTSPLIT(E68," "),1),1),INDEX(_xlfn.TEXTSPLIT(E68," "),2))))</f>
        <v>f2</v>
      </c>
    </row>
    <row r="69" spans="1:9" x14ac:dyDescent="0.2">
      <c r="A69" t="str">
        <f t="shared" si="1"/>
        <v>acsmacrolett/3c00418_f2</v>
      </c>
      <c r="B69" t="s">
        <v>21</v>
      </c>
      <c r="C69" s="1" t="s">
        <v>243</v>
      </c>
      <c r="D69" t="s">
        <v>132</v>
      </c>
      <c r="E69" t="s">
        <v>37</v>
      </c>
      <c r="F69" t="s">
        <v>82</v>
      </c>
      <c r="G69">
        <v>1</v>
      </c>
      <c r="H69" t="str" cm="1">
        <f t="array" ref="H69">INDEX(_xlfn.TEXTSPLIT(INDEX(_xlfn.TEXTSPLIT(C69, "/"), 5), "."), 1)</f>
        <v>acsmacrolett</v>
      </c>
      <c r="I69" t="str" cm="1">
        <f t="array" ref="I69">IF(E69="Abstract","a",LOWER(_xlfn.CONCAT(LEFT(INDEX(_xlfn.TEXTSPLIT(E69," "),1),1),INDEX(_xlfn.TEXTSPLIT(E69," "),2))))</f>
        <v>f2</v>
      </c>
    </row>
    <row r="70" spans="1:9" x14ac:dyDescent="0.2">
      <c r="A70" t="str">
        <f t="shared" si="1"/>
        <v>acsmacrolett/3c00418_f4</v>
      </c>
      <c r="B70" t="s">
        <v>21</v>
      </c>
      <c r="C70" s="1" t="s">
        <v>243</v>
      </c>
      <c r="D70" t="s">
        <v>132</v>
      </c>
      <c r="E70" t="s">
        <v>34</v>
      </c>
      <c r="F70" t="s">
        <v>82</v>
      </c>
      <c r="G70">
        <v>1</v>
      </c>
      <c r="H70" t="str" cm="1">
        <f t="array" ref="H70">INDEX(_xlfn.TEXTSPLIT(INDEX(_xlfn.TEXTSPLIT(C70, "/"), 5), "."), 1)</f>
        <v>acsmacrolett</v>
      </c>
      <c r="I70" t="str" cm="1">
        <f t="array" ref="I70">IF(E70="Abstract","a",LOWER(_xlfn.CONCAT(LEFT(INDEX(_xlfn.TEXTSPLIT(E70," "),1),1),INDEX(_xlfn.TEXTSPLIT(E70," "),2))))</f>
        <v>f4</v>
      </c>
    </row>
    <row r="71" spans="1:9" x14ac:dyDescent="0.2">
      <c r="A71" t="str">
        <f t="shared" si="1"/>
        <v>acsmacrolett/3c00418_f5</v>
      </c>
      <c r="B71" t="s">
        <v>21</v>
      </c>
      <c r="C71" s="1" t="s">
        <v>243</v>
      </c>
      <c r="D71" t="s">
        <v>132</v>
      </c>
      <c r="E71" t="s">
        <v>31</v>
      </c>
      <c r="F71" t="s">
        <v>82</v>
      </c>
      <c r="G71">
        <v>5</v>
      </c>
      <c r="H71" t="str" cm="1">
        <f t="array" ref="H71">INDEX(_xlfn.TEXTSPLIT(INDEX(_xlfn.TEXTSPLIT(C71, "/"), 5), "."), 1)</f>
        <v>acsmacrolett</v>
      </c>
      <c r="I71" t="str" cm="1">
        <f t="array" ref="I71">IF(E71="Abstract","a",LOWER(_xlfn.CONCAT(LEFT(INDEX(_xlfn.TEXTSPLIT(E71," "),1),1),INDEX(_xlfn.TEXTSPLIT(E71," "),2))))</f>
        <v>f5</v>
      </c>
    </row>
    <row r="72" spans="1:9" x14ac:dyDescent="0.2">
      <c r="A72" t="str">
        <f t="shared" si="1"/>
        <v>acsmacrolett/3c00460_s2</v>
      </c>
      <c r="B72" t="s">
        <v>21</v>
      </c>
      <c r="C72" s="1" t="s">
        <v>241</v>
      </c>
      <c r="D72" t="s">
        <v>132</v>
      </c>
      <c r="E72" t="s">
        <v>41</v>
      </c>
      <c r="F72" t="s">
        <v>82</v>
      </c>
      <c r="G72">
        <v>1</v>
      </c>
      <c r="H72" t="str" cm="1">
        <f t="array" ref="H72">INDEX(_xlfn.TEXTSPLIT(INDEX(_xlfn.TEXTSPLIT(C72, "/"), 5), "."), 1)</f>
        <v>acsmacrolett</v>
      </c>
      <c r="I72" t="str" cm="1">
        <f t="array" ref="I72">IF(E72="Abstract","a",LOWER(_xlfn.CONCAT(LEFT(INDEX(_xlfn.TEXTSPLIT(E72," "),1),1),INDEX(_xlfn.TEXTSPLIT(E72," "),2))))</f>
        <v>s2</v>
      </c>
    </row>
    <row r="73" spans="1:9" x14ac:dyDescent="0.2">
      <c r="A73" t="str">
        <f t="shared" si="1"/>
        <v>acsmacrolett/3c00481_f2</v>
      </c>
      <c r="B73" t="s">
        <v>21</v>
      </c>
      <c r="C73" s="1" t="s">
        <v>254</v>
      </c>
      <c r="D73" t="s">
        <v>132</v>
      </c>
      <c r="E73" t="s">
        <v>37</v>
      </c>
      <c r="F73" t="s">
        <v>81</v>
      </c>
      <c r="G73">
        <v>3</v>
      </c>
      <c r="H73" t="str" cm="1">
        <f t="array" ref="H73">INDEX(_xlfn.TEXTSPLIT(INDEX(_xlfn.TEXTSPLIT(C73, "/"), 5), "."), 1)</f>
        <v>acsmacrolett</v>
      </c>
      <c r="I73" t="str" cm="1">
        <f t="array" ref="I73">IF(E73="Abstract","a",LOWER(_xlfn.CONCAT(LEFT(INDEX(_xlfn.TEXTSPLIT(E73," "),1),1),INDEX(_xlfn.TEXTSPLIT(E73," "),2))))</f>
        <v>f2</v>
      </c>
    </row>
    <row r="74" spans="1:9" x14ac:dyDescent="0.2">
      <c r="A74" t="str">
        <f t="shared" si="1"/>
        <v>acsmacrolett/3c00481_f3</v>
      </c>
      <c r="B74" t="s">
        <v>21</v>
      </c>
      <c r="C74" s="1" t="s">
        <v>254</v>
      </c>
      <c r="D74" t="s">
        <v>132</v>
      </c>
      <c r="E74" t="s">
        <v>69</v>
      </c>
      <c r="F74" t="s">
        <v>81</v>
      </c>
      <c r="G74">
        <v>2</v>
      </c>
      <c r="H74" t="str" cm="1">
        <f t="array" ref="H74">INDEX(_xlfn.TEXTSPLIT(INDEX(_xlfn.TEXTSPLIT(C74, "/"), 5), "."), 1)</f>
        <v>acsmacrolett</v>
      </c>
      <c r="I74" t="str" cm="1">
        <f t="array" ref="I74">IF(E74="Abstract","a",LOWER(_xlfn.CONCAT(LEFT(INDEX(_xlfn.TEXTSPLIT(E74," "),1),1),INDEX(_xlfn.TEXTSPLIT(E74," "),2))))</f>
        <v>f3</v>
      </c>
    </row>
    <row r="75" spans="1:9" x14ac:dyDescent="0.2">
      <c r="A75" t="str">
        <f t="shared" si="1"/>
        <v>acsmacrolett/3c00657_f1</v>
      </c>
      <c r="B75" t="s">
        <v>21</v>
      </c>
      <c r="C75" s="1" t="s">
        <v>252</v>
      </c>
      <c r="D75" t="s">
        <v>132</v>
      </c>
      <c r="E75" t="s">
        <v>36</v>
      </c>
      <c r="F75" t="s">
        <v>82</v>
      </c>
      <c r="G75">
        <v>1</v>
      </c>
      <c r="H75" t="str" cm="1">
        <f t="array" ref="H75">INDEX(_xlfn.TEXTSPLIT(INDEX(_xlfn.TEXTSPLIT(C75, "/"), 5), "."), 1)</f>
        <v>acsmacrolett</v>
      </c>
      <c r="I75" t="str" cm="1">
        <f t="array" ref="I75">IF(E75="Abstract","a",LOWER(_xlfn.CONCAT(LEFT(INDEX(_xlfn.TEXTSPLIT(E75," "),1),1),INDEX(_xlfn.TEXTSPLIT(E75," "),2))))</f>
        <v>f1</v>
      </c>
    </row>
    <row r="76" spans="1:9" x14ac:dyDescent="0.2">
      <c r="A76" t="str">
        <f t="shared" si="1"/>
        <v>acsmacrolett/3c00714_a</v>
      </c>
      <c r="B76" t="s">
        <v>21</v>
      </c>
      <c r="C76" s="1" t="s">
        <v>251</v>
      </c>
      <c r="D76" t="s">
        <v>132</v>
      </c>
      <c r="E76" t="s">
        <v>49</v>
      </c>
      <c r="F76" t="s">
        <v>82</v>
      </c>
      <c r="G76">
        <v>1</v>
      </c>
      <c r="H76" t="str" cm="1">
        <f t="array" ref="H76">INDEX(_xlfn.TEXTSPLIT(INDEX(_xlfn.TEXTSPLIT(C76, "/"), 5), "."), 1)</f>
        <v>acsmacrolett</v>
      </c>
      <c r="I76" t="str" cm="1">
        <f t="array" ref="I76">IF(E76="Abstract","a",LOWER(_xlfn.CONCAT(LEFT(INDEX(_xlfn.TEXTSPLIT(E76," "),1),1),INDEX(_xlfn.TEXTSPLIT(E76," "),2))))</f>
        <v>a</v>
      </c>
    </row>
    <row r="77" spans="1:9" x14ac:dyDescent="0.2">
      <c r="A77" t="str">
        <f t="shared" si="1"/>
        <v>acsmacrolett/3c00714_s1</v>
      </c>
      <c r="B77" t="s">
        <v>21</v>
      </c>
      <c r="C77" s="1" t="s">
        <v>251</v>
      </c>
      <c r="D77" t="s">
        <v>132</v>
      </c>
      <c r="E77" t="s">
        <v>40</v>
      </c>
      <c r="F77" t="s">
        <v>82</v>
      </c>
      <c r="G77">
        <v>1</v>
      </c>
      <c r="H77" t="str" cm="1">
        <f t="array" ref="H77">INDEX(_xlfn.TEXTSPLIT(INDEX(_xlfn.TEXTSPLIT(C77, "/"), 5), "."), 1)</f>
        <v>acsmacrolett</v>
      </c>
      <c r="I77" t="str" cm="1">
        <f t="array" ref="I77">IF(E77="Abstract","a",LOWER(_xlfn.CONCAT(LEFT(INDEX(_xlfn.TEXTSPLIT(E77," "),1),1),INDEX(_xlfn.TEXTSPLIT(E77," "),2))))</f>
        <v>s1</v>
      </c>
    </row>
    <row r="78" spans="1:9" x14ac:dyDescent="0.2">
      <c r="A78" t="str">
        <f t="shared" si="1"/>
        <v>acsmacrolett/3c00714_s3</v>
      </c>
      <c r="B78" t="s">
        <v>21</v>
      </c>
      <c r="C78" s="1" t="s">
        <v>251</v>
      </c>
      <c r="D78" t="s">
        <v>132</v>
      </c>
      <c r="E78" t="s">
        <v>43</v>
      </c>
      <c r="F78" t="s">
        <v>82</v>
      </c>
      <c r="G78">
        <v>3</v>
      </c>
      <c r="H78" t="str" cm="1">
        <f t="array" ref="H78">INDEX(_xlfn.TEXTSPLIT(INDEX(_xlfn.TEXTSPLIT(C78, "/"), 5), "."), 1)</f>
        <v>acsmacrolett</v>
      </c>
      <c r="I78" t="str" cm="1">
        <f t="array" ref="I78">IF(E78="Abstract","a",LOWER(_xlfn.CONCAT(LEFT(INDEX(_xlfn.TEXTSPLIT(E78," "),1),1),INDEX(_xlfn.TEXTSPLIT(E78," "),2))))</f>
        <v>s3</v>
      </c>
    </row>
    <row r="79" spans="1:9" x14ac:dyDescent="0.2">
      <c r="A79" t="str">
        <f t="shared" si="1"/>
        <v>acsmacrolett/3c00751_f1</v>
      </c>
      <c r="B79" t="s">
        <v>21</v>
      </c>
      <c r="C79" s="1" t="s">
        <v>250</v>
      </c>
      <c r="D79" t="s">
        <v>132</v>
      </c>
      <c r="E79" t="s">
        <v>36</v>
      </c>
      <c r="F79" t="s">
        <v>82</v>
      </c>
      <c r="G79">
        <v>3</v>
      </c>
      <c r="H79" t="str" cm="1">
        <f t="array" ref="H79">INDEX(_xlfn.TEXTSPLIT(INDEX(_xlfn.TEXTSPLIT(C79, "/"), 5), "."), 1)</f>
        <v>acsmacrolett</v>
      </c>
      <c r="I79" t="str" cm="1">
        <f t="array" ref="I79">IF(E79="Abstract","a",LOWER(_xlfn.CONCAT(LEFT(INDEX(_xlfn.TEXTSPLIT(E79," "),1),1),INDEX(_xlfn.TEXTSPLIT(E79," "),2))))</f>
        <v>f1</v>
      </c>
    </row>
    <row r="80" spans="1:9" x14ac:dyDescent="0.2">
      <c r="A80" t="str">
        <f t="shared" si="1"/>
        <v>acsmacrolett/4c00069_f1</v>
      </c>
      <c r="B80" t="s">
        <v>21</v>
      </c>
      <c r="C80" s="1" t="s">
        <v>260</v>
      </c>
      <c r="D80" t="s">
        <v>132</v>
      </c>
      <c r="E80" t="s">
        <v>36</v>
      </c>
      <c r="F80" t="s">
        <v>82</v>
      </c>
      <c r="G80">
        <v>1</v>
      </c>
      <c r="H80" t="str" cm="1">
        <f t="array" ref="H80">INDEX(_xlfn.TEXTSPLIT(INDEX(_xlfn.TEXTSPLIT(C80, "/"), 5), "."), 1)</f>
        <v>acsmacrolett</v>
      </c>
      <c r="I80" t="str" cm="1">
        <f t="array" ref="I80">IF(E80="Abstract","a",LOWER(_xlfn.CONCAT(LEFT(INDEX(_xlfn.TEXTSPLIT(E80," "),1),1),INDEX(_xlfn.TEXTSPLIT(E80," "),2))))</f>
        <v>f1</v>
      </c>
    </row>
    <row r="81" spans="1:9" x14ac:dyDescent="0.2">
      <c r="A81" t="str">
        <f t="shared" si="1"/>
        <v>acsmacrolett/4c00101_a</v>
      </c>
      <c r="B81" t="s">
        <v>21</v>
      </c>
      <c r="C81" s="1" t="s">
        <v>261</v>
      </c>
      <c r="D81" t="s">
        <v>132</v>
      </c>
      <c r="E81" t="s">
        <v>49</v>
      </c>
      <c r="F81" t="s">
        <v>82</v>
      </c>
      <c r="G81">
        <v>1</v>
      </c>
      <c r="H81" t="str" cm="1">
        <f t="array" ref="H81">INDEX(_xlfn.TEXTSPLIT(INDEX(_xlfn.TEXTSPLIT(C81, "/"), 5), "."), 1)</f>
        <v>acsmacrolett</v>
      </c>
      <c r="I81" t="str" cm="1">
        <f t="array" ref="I81">IF(E81="Abstract","a",LOWER(_xlfn.CONCAT(LEFT(INDEX(_xlfn.TEXTSPLIT(E81," "),1),1),INDEX(_xlfn.TEXTSPLIT(E81," "),2))))</f>
        <v>a</v>
      </c>
    </row>
    <row r="82" spans="1:9" x14ac:dyDescent="0.2">
      <c r="A82" t="str">
        <f t="shared" si="1"/>
        <v>acsmacrolett/4c00101_f1</v>
      </c>
      <c r="B82" t="s">
        <v>21</v>
      </c>
      <c r="C82" s="1" t="s">
        <v>261</v>
      </c>
      <c r="D82" t="s">
        <v>132</v>
      </c>
      <c r="E82" t="s">
        <v>36</v>
      </c>
      <c r="F82" t="s">
        <v>82</v>
      </c>
      <c r="G82">
        <v>1</v>
      </c>
      <c r="H82" t="str" cm="1">
        <f t="array" ref="H82">INDEX(_xlfn.TEXTSPLIT(INDEX(_xlfn.TEXTSPLIT(C82, "/"), 5), "."), 1)</f>
        <v>acsmacrolett</v>
      </c>
      <c r="I82" t="str" cm="1">
        <f t="array" ref="I82">IF(E82="Abstract","a",LOWER(_xlfn.CONCAT(LEFT(INDEX(_xlfn.TEXTSPLIT(E82," "),1),1),INDEX(_xlfn.TEXTSPLIT(E82," "),2))))</f>
        <v>f1</v>
      </c>
    </row>
    <row r="83" spans="1:9" x14ac:dyDescent="0.2">
      <c r="A83" t="str">
        <f t="shared" si="1"/>
        <v>acsmacrolett/4c00101_f2</v>
      </c>
      <c r="B83" t="s">
        <v>21</v>
      </c>
      <c r="C83" s="1" t="s">
        <v>261</v>
      </c>
      <c r="D83" t="s">
        <v>132</v>
      </c>
      <c r="E83" t="s">
        <v>37</v>
      </c>
      <c r="F83" t="s">
        <v>82</v>
      </c>
      <c r="G83">
        <v>2</v>
      </c>
      <c r="H83" t="str" cm="1">
        <f t="array" ref="H83">INDEX(_xlfn.TEXTSPLIT(INDEX(_xlfn.TEXTSPLIT(C83, "/"), 5), "."), 1)</f>
        <v>acsmacrolett</v>
      </c>
      <c r="I83" t="str" cm="1">
        <f t="array" ref="I83">IF(E83="Abstract","a",LOWER(_xlfn.CONCAT(LEFT(INDEX(_xlfn.TEXTSPLIT(E83," "),1),1),INDEX(_xlfn.TEXTSPLIT(E83," "),2))))</f>
        <v>f2</v>
      </c>
    </row>
    <row r="84" spans="1:9" x14ac:dyDescent="0.2">
      <c r="A84" t="str">
        <f t="shared" si="1"/>
        <v>acsmacrolett/4c00117_f1</v>
      </c>
      <c r="B84" t="s">
        <v>21</v>
      </c>
      <c r="C84" s="1" t="s">
        <v>259</v>
      </c>
      <c r="D84" t="s">
        <v>132</v>
      </c>
      <c r="E84" t="s">
        <v>36</v>
      </c>
      <c r="F84" t="s">
        <v>82</v>
      </c>
      <c r="G84">
        <v>3</v>
      </c>
      <c r="H84" t="str" cm="1">
        <f t="array" ref="H84">INDEX(_xlfn.TEXTSPLIT(INDEX(_xlfn.TEXTSPLIT(C84, "/"), 5), "."), 1)</f>
        <v>acsmacrolett</v>
      </c>
      <c r="I84" t="str" cm="1">
        <f t="array" ref="I84">IF(E84="Abstract","a",LOWER(_xlfn.CONCAT(LEFT(INDEX(_xlfn.TEXTSPLIT(E84," "),1),1),INDEX(_xlfn.TEXTSPLIT(E84," "),2))))</f>
        <v>f1</v>
      </c>
    </row>
    <row r="85" spans="1:9" x14ac:dyDescent="0.2">
      <c r="A85" t="str">
        <f t="shared" si="1"/>
        <v>acsmacrolett/4c00204_s1</v>
      </c>
      <c r="B85" t="s">
        <v>21</v>
      </c>
      <c r="C85" s="1" t="s">
        <v>257</v>
      </c>
      <c r="D85" t="s">
        <v>132</v>
      </c>
      <c r="E85" t="s">
        <v>40</v>
      </c>
      <c r="F85" t="s">
        <v>82</v>
      </c>
      <c r="G85">
        <v>6</v>
      </c>
      <c r="H85" t="str" cm="1">
        <f t="array" ref="H85">INDEX(_xlfn.TEXTSPLIT(INDEX(_xlfn.TEXTSPLIT(C85, "/"), 5), "."), 1)</f>
        <v>acsmacrolett</v>
      </c>
      <c r="I85" t="str" cm="1">
        <f t="array" ref="I85">IF(E85="Abstract","a",LOWER(_xlfn.CONCAT(LEFT(INDEX(_xlfn.TEXTSPLIT(E85," "),1),1),INDEX(_xlfn.TEXTSPLIT(E85," "),2))))</f>
        <v>s1</v>
      </c>
    </row>
    <row r="86" spans="1:9" x14ac:dyDescent="0.2">
      <c r="A86" t="str">
        <f t="shared" si="1"/>
        <v>acsmacrolett/4c00313_f1</v>
      </c>
      <c r="B86" t="s">
        <v>21</v>
      </c>
      <c r="C86" s="1" t="s">
        <v>258</v>
      </c>
      <c r="D86" t="s">
        <v>132</v>
      </c>
      <c r="E86" t="s">
        <v>36</v>
      </c>
      <c r="F86" t="s">
        <v>82</v>
      </c>
      <c r="G86">
        <v>1</v>
      </c>
      <c r="H86" t="str" cm="1">
        <f t="array" ref="H86">INDEX(_xlfn.TEXTSPLIT(INDEX(_xlfn.TEXTSPLIT(C86, "/"), 5), "."), 1)</f>
        <v>acsmacrolett</v>
      </c>
      <c r="I86" t="str" cm="1">
        <f t="array" ref="I86">IF(E86="Abstract","a",LOWER(_xlfn.CONCAT(LEFT(INDEX(_xlfn.TEXTSPLIT(E86," "),1),1),INDEX(_xlfn.TEXTSPLIT(E86," "),2))))</f>
        <v>f1</v>
      </c>
    </row>
    <row r="87" spans="1:9" x14ac:dyDescent="0.2">
      <c r="A87" t="str">
        <f t="shared" si="1"/>
        <v>acsmacrolett/4c00313_f2</v>
      </c>
      <c r="B87" t="s">
        <v>21</v>
      </c>
      <c r="C87" s="1" t="s">
        <v>258</v>
      </c>
      <c r="D87" t="s">
        <v>132</v>
      </c>
      <c r="E87" t="s">
        <v>37</v>
      </c>
      <c r="F87" t="s">
        <v>82</v>
      </c>
      <c r="G87">
        <v>1</v>
      </c>
      <c r="H87" t="str" cm="1">
        <f t="array" ref="H87">INDEX(_xlfn.TEXTSPLIT(INDEX(_xlfn.TEXTSPLIT(C87, "/"), 5), "."), 1)</f>
        <v>acsmacrolett</v>
      </c>
      <c r="I87" t="str" cm="1">
        <f t="array" ref="I87">IF(E87="Abstract","a",LOWER(_xlfn.CONCAT(LEFT(INDEX(_xlfn.TEXTSPLIT(E87," "),1),1),INDEX(_xlfn.TEXTSPLIT(E87," "),2))))</f>
        <v>f2</v>
      </c>
    </row>
    <row r="88" spans="1:9" x14ac:dyDescent="0.2">
      <c r="A88" t="str">
        <f t="shared" si="1"/>
        <v>acsmacrolett/4c00321_f1</v>
      </c>
      <c r="B88" t="s">
        <v>21</v>
      </c>
      <c r="C88" s="1" t="s">
        <v>256</v>
      </c>
      <c r="D88" t="s">
        <v>132</v>
      </c>
      <c r="E88" t="s">
        <v>36</v>
      </c>
      <c r="F88" t="s">
        <v>82</v>
      </c>
      <c r="G88">
        <v>2</v>
      </c>
      <c r="H88" t="str" cm="1">
        <f t="array" ref="H88">INDEX(_xlfn.TEXTSPLIT(INDEX(_xlfn.TEXTSPLIT(C88, "/"), 5), "."), 1)</f>
        <v>acsmacrolett</v>
      </c>
      <c r="I88" t="str" cm="1">
        <f t="array" ref="I88">IF(E88="Abstract","a",LOWER(_xlfn.CONCAT(LEFT(INDEX(_xlfn.TEXTSPLIT(E88," "),1),1),INDEX(_xlfn.TEXTSPLIT(E88," "),2))))</f>
        <v>f1</v>
      </c>
    </row>
    <row r="89" spans="1:9" x14ac:dyDescent="0.2">
      <c r="A89" t="str">
        <f t="shared" si="1"/>
        <v>acsmacrolett/4c00368_f1</v>
      </c>
      <c r="B89" t="s">
        <v>21</v>
      </c>
      <c r="C89" s="1" t="s">
        <v>266</v>
      </c>
      <c r="D89" t="s">
        <v>132</v>
      </c>
      <c r="E89" t="s">
        <v>36</v>
      </c>
      <c r="F89" t="s">
        <v>81</v>
      </c>
      <c r="G89">
        <v>1</v>
      </c>
      <c r="H89" t="str" cm="1">
        <f t="array" ref="H89">INDEX(_xlfn.TEXTSPLIT(INDEX(_xlfn.TEXTSPLIT(C89, "/"), 5), "."), 1)</f>
        <v>acsmacrolett</v>
      </c>
      <c r="I89" t="str" cm="1">
        <f t="array" ref="I89">IF(E89="Abstract","a",LOWER(_xlfn.CONCAT(LEFT(INDEX(_xlfn.TEXTSPLIT(E89," "),1),1),INDEX(_xlfn.TEXTSPLIT(E89," "),2))))</f>
        <v>f1</v>
      </c>
    </row>
    <row r="90" spans="1:9" x14ac:dyDescent="0.2">
      <c r="A90" t="str">
        <f t="shared" si="1"/>
        <v>acsmacrolett/4c00400_f1</v>
      </c>
      <c r="B90" t="s">
        <v>21</v>
      </c>
      <c r="C90" s="1" t="s">
        <v>255</v>
      </c>
      <c r="D90" t="s">
        <v>132</v>
      </c>
      <c r="E90" t="s">
        <v>36</v>
      </c>
      <c r="F90" t="s">
        <v>82</v>
      </c>
      <c r="G90">
        <v>2</v>
      </c>
      <c r="H90" t="str" cm="1">
        <f t="array" ref="H90">INDEX(_xlfn.TEXTSPLIT(INDEX(_xlfn.TEXTSPLIT(C90, "/"), 5), "."), 1)</f>
        <v>acsmacrolett</v>
      </c>
      <c r="I90" t="str" cm="1">
        <f t="array" ref="I90">IF(E90="Abstract","a",LOWER(_xlfn.CONCAT(LEFT(INDEX(_xlfn.TEXTSPLIT(E90," "),1),1),INDEX(_xlfn.TEXTSPLIT(E90," "),2))))</f>
        <v>f1</v>
      </c>
    </row>
    <row r="91" spans="1:9" x14ac:dyDescent="0.2">
      <c r="A91" t="str">
        <f t="shared" si="1"/>
        <v>acsmacrolett/4c00404_f1</v>
      </c>
      <c r="B91" t="s">
        <v>21</v>
      </c>
      <c r="C91" s="1" t="s">
        <v>269</v>
      </c>
      <c r="D91" t="s">
        <v>132</v>
      </c>
      <c r="E91" t="s">
        <v>36</v>
      </c>
      <c r="F91" t="s">
        <v>82</v>
      </c>
      <c r="G91">
        <v>2</v>
      </c>
      <c r="H91" t="str" cm="1">
        <f t="array" ref="H91">INDEX(_xlfn.TEXTSPLIT(INDEX(_xlfn.TEXTSPLIT(C91, "/"), 5), "."), 1)</f>
        <v>acsmacrolett</v>
      </c>
      <c r="I91" t="str" cm="1">
        <f t="array" ref="I91">IF(E91="Abstract","a",LOWER(_xlfn.CONCAT(LEFT(INDEX(_xlfn.TEXTSPLIT(E91," "),1),1),INDEX(_xlfn.TEXTSPLIT(E91," "),2))))</f>
        <v>f1</v>
      </c>
    </row>
    <row r="92" spans="1:9" x14ac:dyDescent="0.2">
      <c r="A92" t="str">
        <f t="shared" si="1"/>
        <v>acsmacrolett/4c00461_s1</v>
      </c>
      <c r="B92" t="s">
        <v>21</v>
      </c>
      <c r="C92" s="1" t="s">
        <v>25</v>
      </c>
      <c r="D92" t="s">
        <v>132</v>
      </c>
      <c r="E92" t="s">
        <v>40</v>
      </c>
      <c r="F92" t="s">
        <v>81</v>
      </c>
      <c r="G92">
        <v>4</v>
      </c>
      <c r="H92" t="str" cm="1">
        <f t="array" ref="H92">INDEX(_xlfn.TEXTSPLIT(INDEX(_xlfn.TEXTSPLIT(C92, "/"), 5), "."), 1)</f>
        <v>acsmacrolett</v>
      </c>
      <c r="I92" t="str" cm="1">
        <f t="array" ref="I92">IF(E92="Abstract","a",LOWER(_xlfn.CONCAT(LEFT(INDEX(_xlfn.TEXTSPLIT(E92," "),1),1),INDEX(_xlfn.TEXTSPLIT(E92," "),2))))</f>
        <v>s1</v>
      </c>
    </row>
    <row r="93" spans="1:9" x14ac:dyDescent="0.2">
      <c r="A93" t="str">
        <f t="shared" si="1"/>
        <v>acsmacrolett/4c00461_s2</v>
      </c>
      <c r="B93" t="s">
        <v>21</v>
      </c>
      <c r="C93" s="1" t="s">
        <v>25</v>
      </c>
      <c r="D93" t="s">
        <v>132</v>
      </c>
      <c r="E93" t="s">
        <v>41</v>
      </c>
      <c r="F93" t="s">
        <v>81</v>
      </c>
      <c r="G93">
        <v>5</v>
      </c>
      <c r="H93" t="str" cm="1">
        <f t="array" ref="H93">INDEX(_xlfn.TEXTSPLIT(INDEX(_xlfn.TEXTSPLIT(C93, "/"), 5), "."), 1)</f>
        <v>acsmacrolett</v>
      </c>
      <c r="I93" t="str" cm="1">
        <f t="array" ref="I93">IF(E93="Abstract","a",LOWER(_xlfn.CONCAT(LEFT(INDEX(_xlfn.TEXTSPLIT(E93," "),1),1),INDEX(_xlfn.TEXTSPLIT(E93," "),2))))</f>
        <v>s2</v>
      </c>
    </row>
    <row r="94" spans="1:9" x14ac:dyDescent="0.2">
      <c r="A94" t="str">
        <f t="shared" si="1"/>
        <v>acsmacrolett/4c00463_s1</v>
      </c>
      <c r="B94" t="s">
        <v>21</v>
      </c>
      <c r="C94" s="1" t="s">
        <v>267</v>
      </c>
      <c r="D94" t="s">
        <v>132</v>
      </c>
      <c r="E94" t="s">
        <v>40</v>
      </c>
      <c r="F94" t="s">
        <v>82</v>
      </c>
      <c r="G94">
        <v>7</v>
      </c>
      <c r="H94" t="str" cm="1">
        <f t="array" ref="H94">INDEX(_xlfn.TEXTSPLIT(INDEX(_xlfn.TEXTSPLIT(C94, "/"), 5), "."), 1)</f>
        <v>acsmacrolett</v>
      </c>
      <c r="I94" t="str" cm="1">
        <f t="array" ref="I94">IF(E94="Abstract","a",LOWER(_xlfn.CONCAT(LEFT(INDEX(_xlfn.TEXTSPLIT(E94," "),1),1),INDEX(_xlfn.TEXTSPLIT(E94," "),2))))</f>
        <v>s1</v>
      </c>
    </row>
    <row r="95" spans="1:9" x14ac:dyDescent="0.2">
      <c r="A95" t="str">
        <f t="shared" si="1"/>
        <v>acsmacrolett/4c00534_f1</v>
      </c>
      <c r="B95" t="s">
        <v>21</v>
      </c>
      <c r="C95" s="1" t="s">
        <v>268</v>
      </c>
      <c r="D95" t="s">
        <v>132</v>
      </c>
      <c r="E95" t="s">
        <v>36</v>
      </c>
      <c r="F95" t="s">
        <v>82</v>
      </c>
      <c r="G95">
        <v>1</v>
      </c>
      <c r="H95" t="str" cm="1">
        <f t="array" ref="H95">INDEX(_xlfn.TEXTSPLIT(INDEX(_xlfn.TEXTSPLIT(C95, "/"), 5), "."), 1)</f>
        <v>acsmacrolett</v>
      </c>
      <c r="I95" t="str" cm="1">
        <f t="array" ref="I95">IF(E95="Abstract","a",LOWER(_xlfn.CONCAT(LEFT(INDEX(_xlfn.TEXTSPLIT(E95," "),1),1),INDEX(_xlfn.TEXTSPLIT(E95," "),2))))</f>
        <v>f1</v>
      </c>
    </row>
    <row r="96" spans="1:9" x14ac:dyDescent="0.2">
      <c r="A96" t="str">
        <f t="shared" si="1"/>
        <v>acsmacrolett/4c00550_a</v>
      </c>
      <c r="B96" t="s">
        <v>21</v>
      </c>
      <c r="C96" s="1" t="s">
        <v>23</v>
      </c>
      <c r="D96" t="s">
        <v>132</v>
      </c>
      <c r="E96" t="s">
        <v>49</v>
      </c>
      <c r="F96" t="s">
        <v>82</v>
      </c>
      <c r="G96">
        <v>1</v>
      </c>
      <c r="H96" t="str" cm="1">
        <f t="array" ref="H96">INDEX(_xlfn.TEXTSPLIT(INDEX(_xlfn.TEXTSPLIT(C96, "/"), 5), "."), 1)</f>
        <v>acsmacrolett</v>
      </c>
      <c r="I96" t="str" cm="1">
        <f t="array" ref="I96">IF(E96="Abstract","a",LOWER(_xlfn.CONCAT(LEFT(INDEX(_xlfn.TEXTSPLIT(E96," "),1),1),INDEX(_xlfn.TEXTSPLIT(E96," "),2))))</f>
        <v>a</v>
      </c>
    </row>
    <row r="97" spans="1:9" x14ac:dyDescent="0.2">
      <c r="A97" t="str">
        <f t="shared" si="1"/>
        <v>acsmacrolett/4c00550_f3</v>
      </c>
      <c r="B97" t="s">
        <v>21</v>
      </c>
      <c r="C97" s="1" t="s">
        <v>23</v>
      </c>
      <c r="D97" t="s">
        <v>132</v>
      </c>
      <c r="E97" t="s">
        <v>69</v>
      </c>
      <c r="F97" t="s">
        <v>82</v>
      </c>
      <c r="G97">
        <v>1</v>
      </c>
      <c r="H97" t="str" cm="1">
        <f t="array" ref="H97">INDEX(_xlfn.TEXTSPLIT(INDEX(_xlfn.TEXTSPLIT(C97, "/"), 5), "."), 1)</f>
        <v>acsmacrolett</v>
      </c>
      <c r="I97" t="str" cm="1">
        <f t="array" ref="I97">IF(E97="Abstract","a",LOWER(_xlfn.CONCAT(LEFT(INDEX(_xlfn.TEXTSPLIT(E97," "),1),1),INDEX(_xlfn.TEXTSPLIT(E97," "),2))))</f>
        <v>f3</v>
      </c>
    </row>
    <row r="98" spans="1:9" x14ac:dyDescent="0.2">
      <c r="A98" t="str">
        <f t="shared" si="1"/>
        <v>acsmacrolett/4c00556_a</v>
      </c>
      <c r="B98" t="s">
        <v>21</v>
      </c>
      <c r="C98" s="1" t="s">
        <v>24</v>
      </c>
      <c r="D98" t="s">
        <v>132</v>
      </c>
      <c r="E98" t="s">
        <v>49</v>
      </c>
      <c r="F98" t="s">
        <v>82</v>
      </c>
      <c r="G98">
        <v>4</v>
      </c>
      <c r="H98" t="str" cm="1">
        <f t="array" ref="H98">INDEX(_xlfn.TEXTSPLIT(INDEX(_xlfn.TEXTSPLIT(C98, "/"), 5), "."), 1)</f>
        <v>acsmacrolett</v>
      </c>
      <c r="I98" t="str" cm="1">
        <f t="array" ref="I98">IF(E98="Abstract","a",LOWER(_xlfn.CONCAT(LEFT(INDEX(_xlfn.TEXTSPLIT(E98," "),1),1),INDEX(_xlfn.TEXTSPLIT(E98," "),2))))</f>
        <v>a</v>
      </c>
    </row>
    <row r="99" spans="1:9" x14ac:dyDescent="0.2">
      <c r="A99" t="str">
        <f t="shared" si="1"/>
        <v>acsmacrolett/4c00556_f1</v>
      </c>
      <c r="B99" t="s">
        <v>21</v>
      </c>
      <c r="C99" s="1" t="s">
        <v>24</v>
      </c>
      <c r="D99" t="s">
        <v>132</v>
      </c>
      <c r="E99" t="s">
        <v>36</v>
      </c>
      <c r="F99" t="s">
        <v>82</v>
      </c>
      <c r="G99">
        <v>1</v>
      </c>
      <c r="H99" t="str" cm="1">
        <f t="array" ref="H99">INDEX(_xlfn.TEXTSPLIT(INDEX(_xlfn.TEXTSPLIT(C99, "/"), 5), "."), 1)</f>
        <v>acsmacrolett</v>
      </c>
      <c r="I99" t="str" cm="1">
        <f t="array" ref="I99">IF(E99="Abstract","a",LOWER(_xlfn.CONCAT(LEFT(INDEX(_xlfn.TEXTSPLIT(E99," "),1),1),INDEX(_xlfn.TEXTSPLIT(E99," "),2))))</f>
        <v>f1</v>
      </c>
    </row>
    <row r="100" spans="1:9" x14ac:dyDescent="0.2">
      <c r="A100" t="str">
        <f t="shared" si="1"/>
        <v>acsmacrolett/4c00556_f2</v>
      </c>
      <c r="B100" t="s">
        <v>21</v>
      </c>
      <c r="C100" s="1" t="s">
        <v>24</v>
      </c>
      <c r="D100" t="s">
        <v>132</v>
      </c>
      <c r="E100" t="s">
        <v>37</v>
      </c>
      <c r="F100" t="s">
        <v>82</v>
      </c>
      <c r="G100">
        <v>1</v>
      </c>
      <c r="H100" t="str" cm="1">
        <f t="array" ref="H100">INDEX(_xlfn.TEXTSPLIT(INDEX(_xlfn.TEXTSPLIT(C100, "/"), 5), "."), 1)</f>
        <v>acsmacrolett</v>
      </c>
      <c r="I100" t="str" cm="1">
        <f t="array" ref="I100">IF(E100="Abstract","a",LOWER(_xlfn.CONCAT(LEFT(INDEX(_xlfn.TEXTSPLIT(E100," "),1),1),INDEX(_xlfn.TEXTSPLIT(E100," "),2))))</f>
        <v>f2</v>
      </c>
    </row>
    <row r="101" spans="1:9" x14ac:dyDescent="0.2">
      <c r="A101" t="str">
        <f t="shared" si="1"/>
        <v>acsmacrolett/4c00642_f1</v>
      </c>
      <c r="B101" t="s">
        <v>21</v>
      </c>
      <c r="C101" s="1" t="s">
        <v>264</v>
      </c>
      <c r="D101" t="s">
        <v>132</v>
      </c>
      <c r="E101" t="s">
        <v>36</v>
      </c>
      <c r="F101" t="s">
        <v>82</v>
      </c>
      <c r="G101">
        <v>1</v>
      </c>
      <c r="H101" t="str" cm="1">
        <f t="array" ref="H101">INDEX(_xlfn.TEXTSPLIT(INDEX(_xlfn.TEXTSPLIT(C101, "/"), 5), "."), 1)</f>
        <v>acsmacrolett</v>
      </c>
      <c r="I101" t="str" cm="1">
        <f t="array" ref="I101">IF(E101="Abstract","a",LOWER(_xlfn.CONCAT(LEFT(INDEX(_xlfn.TEXTSPLIT(E101," "),1),1),INDEX(_xlfn.TEXTSPLIT(E101," "),2))))</f>
        <v>f1</v>
      </c>
    </row>
    <row r="102" spans="1:9" x14ac:dyDescent="0.2">
      <c r="A102" t="str">
        <f t="shared" si="1"/>
        <v>acsmacrolett/4c00651_s1</v>
      </c>
      <c r="B102" t="s">
        <v>21</v>
      </c>
      <c r="C102" s="1" t="s">
        <v>22</v>
      </c>
      <c r="D102" t="s">
        <v>132</v>
      </c>
      <c r="E102" t="s">
        <v>40</v>
      </c>
      <c r="F102" t="s">
        <v>82</v>
      </c>
      <c r="G102">
        <v>1</v>
      </c>
      <c r="H102" t="str" cm="1">
        <f t="array" ref="H102">INDEX(_xlfn.TEXTSPLIT(INDEX(_xlfn.TEXTSPLIT(C102, "/"), 5), "."), 1)</f>
        <v>acsmacrolett</v>
      </c>
      <c r="I102" t="str" cm="1">
        <f t="array" ref="I102">IF(E102="Abstract","a",LOWER(_xlfn.CONCAT(LEFT(INDEX(_xlfn.TEXTSPLIT(E102," "),1),1),INDEX(_xlfn.TEXTSPLIT(E102," "),2))))</f>
        <v>s1</v>
      </c>
    </row>
    <row r="103" spans="1:9" x14ac:dyDescent="0.2">
      <c r="A103" t="str">
        <f t="shared" si="1"/>
        <v>acsmacrolett/4c00665_f1</v>
      </c>
      <c r="B103" t="s">
        <v>21</v>
      </c>
      <c r="C103" s="1" t="s">
        <v>263</v>
      </c>
      <c r="D103" t="s">
        <v>132</v>
      </c>
      <c r="E103" t="s">
        <v>36</v>
      </c>
      <c r="F103" t="s">
        <v>81</v>
      </c>
      <c r="G103">
        <v>1</v>
      </c>
      <c r="H103" t="str" cm="1">
        <f t="array" ref="H103">INDEX(_xlfn.TEXTSPLIT(INDEX(_xlfn.TEXTSPLIT(C103, "/"), 5), "."), 1)</f>
        <v>acsmacrolett</v>
      </c>
      <c r="I103" t="str" cm="1">
        <f t="array" ref="I103">IF(E103="Abstract","a",LOWER(_xlfn.CONCAT(LEFT(INDEX(_xlfn.TEXTSPLIT(E103," "),1),1),INDEX(_xlfn.TEXTSPLIT(E103," "),2))))</f>
        <v>f1</v>
      </c>
    </row>
    <row r="104" spans="1:9" x14ac:dyDescent="0.2">
      <c r="A104" t="str">
        <f t="shared" si="1"/>
        <v>acsmacrolett/4c00675_f1</v>
      </c>
      <c r="B104" t="s">
        <v>21</v>
      </c>
      <c r="C104" s="1" t="s">
        <v>265</v>
      </c>
      <c r="D104" t="s">
        <v>132</v>
      </c>
      <c r="E104" t="s">
        <v>36</v>
      </c>
      <c r="F104" t="s">
        <v>81</v>
      </c>
      <c r="G104">
        <v>2</v>
      </c>
      <c r="H104" t="str" cm="1">
        <f t="array" ref="H104">INDEX(_xlfn.TEXTSPLIT(INDEX(_xlfn.TEXTSPLIT(C104, "/"), 5), "."), 1)</f>
        <v>acsmacrolett</v>
      </c>
      <c r="I104" t="str" cm="1">
        <f t="array" ref="I104">IF(E104="Abstract","a",LOWER(_xlfn.CONCAT(LEFT(INDEX(_xlfn.TEXTSPLIT(E104," "),1),1),INDEX(_xlfn.TEXTSPLIT(E104," "),2))))</f>
        <v>f1</v>
      </c>
    </row>
    <row r="105" spans="1:9" x14ac:dyDescent="0.2">
      <c r="A105" t="str">
        <f t="shared" si="1"/>
        <v>acsmacrolett/4c00675_f2</v>
      </c>
      <c r="B105" t="s">
        <v>21</v>
      </c>
      <c r="C105" s="1" t="s">
        <v>265</v>
      </c>
      <c r="D105" t="s">
        <v>132</v>
      </c>
      <c r="E105" t="s">
        <v>37</v>
      </c>
      <c r="F105" t="s">
        <v>81</v>
      </c>
      <c r="G105">
        <v>2</v>
      </c>
      <c r="H105" t="str" cm="1">
        <f t="array" ref="H105">INDEX(_xlfn.TEXTSPLIT(INDEX(_xlfn.TEXTSPLIT(C105, "/"), 5), "."), 1)</f>
        <v>acsmacrolett</v>
      </c>
      <c r="I105" t="str" cm="1">
        <f t="array" ref="I105">IF(E105="Abstract","a",LOWER(_xlfn.CONCAT(LEFT(INDEX(_xlfn.TEXTSPLIT(E105," "),1),1),INDEX(_xlfn.TEXTSPLIT(E105," "),2))))</f>
        <v>f2</v>
      </c>
    </row>
    <row r="106" spans="1:9" x14ac:dyDescent="0.2">
      <c r="A106" t="str">
        <f t="shared" si="1"/>
        <v>acsmacrolett/4c00675_f5</v>
      </c>
      <c r="B106" t="s">
        <v>21</v>
      </c>
      <c r="C106" s="1" t="s">
        <v>265</v>
      </c>
      <c r="D106" t="s">
        <v>132</v>
      </c>
      <c r="E106" t="s">
        <v>31</v>
      </c>
      <c r="F106" t="s">
        <v>81</v>
      </c>
      <c r="G106">
        <v>2</v>
      </c>
      <c r="H106" t="str" cm="1">
        <f t="array" ref="H106">INDEX(_xlfn.TEXTSPLIT(INDEX(_xlfn.TEXTSPLIT(C106, "/"), 5), "."), 1)</f>
        <v>acsmacrolett</v>
      </c>
      <c r="I106" t="str" cm="1">
        <f t="array" ref="I106">IF(E106="Abstract","a",LOWER(_xlfn.CONCAT(LEFT(INDEX(_xlfn.TEXTSPLIT(E106," "),1),1),INDEX(_xlfn.TEXTSPLIT(E106," "),2))))</f>
        <v>f5</v>
      </c>
    </row>
    <row r="107" spans="1:9" x14ac:dyDescent="0.2">
      <c r="A107" t="str">
        <f t="shared" si="1"/>
        <v>acsmacrolett/4c00758_s1</v>
      </c>
      <c r="B107" t="s">
        <v>21</v>
      </c>
      <c r="C107" s="1" t="s">
        <v>262</v>
      </c>
      <c r="D107" t="s">
        <v>132</v>
      </c>
      <c r="E107" t="s">
        <v>40</v>
      </c>
      <c r="F107" t="s">
        <v>82</v>
      </c>
      <c r="G107">
        <v>7</v>
      </c>
      <c r="H107" t="str" cm="1">
        <f t="array" ref="H107">INDEX(_xlfn.TEXTSPLIT(INDEX(_xlfn.TEXTSPLIT(C107, "/"), 5), "."), 1)</f>
        <v>acsmacrolett</v>
      </c>
      <c r="I107" t="str" cm="1">
        <f t="array" ref="I107">IF(E107="Abstract","a",LOWER(_xlfn.CONCAT(LEFT(INDEX(_xlfn.TEXTSPLIT(E107," "),1),1),INDEX(_xlfn.TEXTSPLIT(E107," "),2))))</f>
        <v>s1</v>
      </c>
    </row>
    <row r="108" spans="1:9" x14ac:dyDescent="0.2">
      <c r="A108" t="str">
        <f t="shared" si="1"/>
        <v>acsmacrolett/4c00810_s1</v>
      </c>
      <c r="B108" t="s">
        <v>21</v>
      </c>
      <c r="C108" s="1" t="s">
        <v>276</v>
      </c>
      <c r="D108" t="s">
        <v>132</v>
      </c>
      <c r="E108" t="s">
        <v>40</v>
      </c>
      <c r="F108" t="s">
        <v>82</v>
      </c>
      <c r="G108">
        <v>1</v>
      </c>
      <c r="H108" t="str" cm="1">
        <f t="array" ref="H108">INDEX(_xlfn.TEXTSPLIT(INDEX(_xlfn.TEXTSPLIT(C108, "/"), 5), "."), 1)</f>
        <v>acsmacrolett</v>
      </c>
      <c r="I108" t="str" cm="1">
        <f t="array" ref="I108">IF(E108="Abstract","a",LOWER(_xlfn.CONCAT(LEFT(INDEX(_xlfn.TEXTSPLIT(E108," "),1),1),INDEX(_xlfn.TEXTSPLIT(E108," "),2))))</f>
        <v>s1</v>
      </c>
    </row>
    <row r="109" spans="1:9" x14ac:dyDescent="0.2">
      <c r="A109" t="str">
        <f t="shared" si="1"/>
        <v>acsmacrolett/4c00839_f1</v>
      </c>
      <c r="B109" t="s">
        <v>21</v>
      </c>
      <c r="C109" s="1" t="s">
        <v>278</v>
      </c>
      <c r="D109" t="s">
        <v>132</v>
      </c>
      <c r="E109" t="s">
        <v>36</v>
      </c>
      <c r="F109" t="s">
        <v>82</v>
      </c>
      <c r="G109">
        <v>3</v>
      </c>
      <c r="H109" t="str" cm="1">
        <f t="array" ref="H109">INDEX(_xlfn.TEXTSPLIT(INDEX(_xlfn.TEXTSPLIT(C109, "/"), 5), "."), 1)</f>
        <v>acsmacrolett</v>
      </c>
      <c r="I109" t="str" cm="1">
        <f t="array" ref="I109">IF(E109="Abstract","a",LOWER(_xlfn.CONCAT(LEFT(INDEX(_xlfn.TEXTSPLIT(E109," "),1),1),INDEX(_xlfn.TEXTSPLIT(E109," "),2))))</f>
        <v>f1</v>
      </c>
    </row>
    <row r="110" spans="1:9" x14ac:dyDescent="0.2">
      <c r="A110" t="str">
        <f t="shared" si="1"/>
        <v>acsmacrolett/4c00839_f2</v>
      </c>
      <c r="B110" t="s">
        <v>21</v>
      </c>
      <c r="C110" s="1" t="s">
        <v>278</v>
      </c>
      <c r="D110" t="s">
        <v>132</v>
      </c>
      <c r="E110" t="s">
        <v>37</v>
      </c>
      <c r="F110" t="s">
        <v>82</v>
      </c>
      <c r="G110">
        <v>1</v>
      </c>
      <c r="H110" t="str" cm="1">
        <f t="array" ref="H110">INDEX(_xlfn.TEXTSPLIT(INDEX(_xlfn.TEXTSPLIT(C110, "/"), 5), "."), 1)</f>
        <v>acsmacrolett</v>
      </c>
      <c r="I110" t="str" cm="1">
        <f t="array" ref="I110">IF(E110="Abstract","a",LOWER(_xlfn.CONCAT(LEFT(INDEX(_xlfn.TEXTSPLIT(E110," "),1),1),INDEX(_xlfn.TEXTSPLIT(E110," "),2))))</f>
        <v>f2</v>
      </c>
    </row>
    <row r="111" spans="1:9" x14ac:dyDescent="0.2">
      <c r="A111" t="str">
        <f t="shared" si="1"/>
        <v>acsmacrolett/4c00839_f4</v>
      </c>
      <c r="B111" t="s">
        <v>21</v>
      </c>
      <c r="C111" s="1" t="s">
        <v>278</v>
      </c>
      <c r="D111" t="s">
        <v>132</v>
      </c>
      <c r="E111" t="s">
        <v>34</v>
      </c>
      <c r="F111" t="s">
        <v>82</v>
      </c>
      <c r="G111">
        <v>1</v>
      </c>
      <c r="H111" t="str" cm="1">
        <f t="array" ref="H111">INDEX(_xlfn.TEXTSPLIT(INDEX(_xlfn.TEXTSPLIT(C111, "/"), 5), "."), 1)</f>
        <v>acsmacrolett</v>
      </c>
      <c r="I111" t="str" cm="1">
        <f t="array" ref="I111">IF(E111="Abstract","a",LOWER(_xlfn.CONCAT(LEFT(INDEX(_xlfn.TEXTSPLIT(E111," "),1),1),INDEX(_xlfn.TEXTSPLIT(E111," "),2))))</f>
        <v>f4</v>
      </c>
    </row>
    <row r="112" spans="1:9" x14ac:dyDescent="0.2">
      <c r="A112" t="str">
        <f t="shared" si="1"/>
        <v>acsmacrolett/5c00009_f2</v>
      </c>
      <c r="B112" t="s">
        <v>21</v>
      </c>
      <c r="C112" s="1" t="s">
        <v>277</v>
      </c>
      <c r="D112" t="s">
        <v>132</v>
      </c>
      <c r="E112" t="s">
        <v>37</v>
      </c>
      <c r="F112" t="s">
        <v>82</v>
      </c>
      <c r="G112">
        <v>1</v>
      </c>
      <c r="H112" t="str" cm="1">
        <f t="array" ref="H112">INDEX(_xlfn.TEXTSPLIT(INDEX(_xlfn.TEXTSPLIT(C112, "/"), 5), "."), 1)</f>
        <v>acsmacrolett</v>
      </c>
      <c r="I112" t="str" cm="1">
        <f t="array" ref="I112">IF(E112="Abstract","a",LOWER(_xlfn.CONCAT(LEFT(INDEX(_xlfn.TEXTSPLIT(E112," "),1),1),INDEX(_xlfn.TEXTSPLIT(E112," "),2))))</f>
        <v>f2</v>
      </c>
    </row>
    <row r="113" spans="1:9" x14ac:dyDescent="0.2">
      <c r="A113" t="str">
        <f t="shared" si="1"/>
        <v>acsmacrolett/5c00043_f1</v>
      </c>
      <c r="B113" t="s">
        <v>21</v>
      </c>
      <c r="C113" s="1" t="s">
        <v>273</v>
      </c>
      <c r="D113" t="s">
        <v>132</v>
      </c>
      <c r="E113" t="s">
        <v>36</v>
      </c>
      <c r="F113" t="s">
        <v>82</v>
      </c>
      <c r="G113">
        <v>2</v>
      </c>
      <c r="H113" t="str" cm="1">
        <f t="array" ref="H113">INDEX(_xlfn.TEXTSPLIT(INDEX(_xlfn.TEXTSPLIT(C113, "/"), 5), "."), 1)</f>
        <v>acsmacrolett</v>
      </c>
      <c r="I113" t="str" cm="1">
        <f t="array" ref="I113">IF(E113="Abstract","a",LOWER(_xlfn.CONCAT(LEFT(INDEX(_xlfn.TEXTSPLIT(E113," "),1),1),INDEX(_xlfn.TEXTSPLIT(E113," "),2))))</f>
        <v>f1</v>
      </c>
    </row>
    <row r="114" spans="1:9" x14ac:dyDescent="0.2">
      <c r="A114" t="str">
        <f t="shared" si="1"/>
        <v>acsmacrolett/5c00053_f2</v>
      </c>
      <c r="B114" t="s">
        <v>21</v>
      </c>
      <c r="C114" s="1" t="s">
        <v>275</v>
      </c>
      <c r="D114" t="s">
        <v>132</v>
      </c>
      <c r="E114" t="s">
        <v>37</v>
      </c>
      <c r="F114" t="s">
        <v>82</v>
      </c>
      <c r="G114">
        <v>4</v>
      </c>
      <c r="H114" t="str" cm="1">
        <f t="array" ref="H114">INDEX(_xlfn.TEXTSPLIT(INDEX(_xlfn.TEXTSPLIT(C114, "/"), 5), "."), 1)</f>
        <v>acsmacrolett</v>
      </c>
      <c r="I114" t="str" cm="1">
        <f t="array" ref="I114">IF(E114="Abstract","a",LOWER(_xlfn.CONCAT(LEFT(INDEX(_xlfn.TEXTSPLIT(E114," "),1),1),INDEX(_xlfn.TEXTSPLIT(E114," "),2))))</f>
        <v>f2</v>
      </c>
    </row>
    <row r="115" spans="1:9" x14ac:dyDescent="0.2">
      <c r="A115" t="str">
        <f t="shared" si="1"/>
        <v>acsmacrolett/5c00065_a</v>
      </c>
      <c r="B115" t="s">
        <v>21</v>
      </c>
      <c r="C115" s="1" t="s">
        <v>274</v>
      </c>
      <c r="D115" t="s">
        <v>132</v>
      </c>
      <c r="E115" t="s">
        <v>49</v>
      </c>
      <c r="F115" t="s">
        <v>82</v>
      </c>
      <c r="G115">
        <v>1</v>
      </c>
      <c r="H115" t="str" cm="1">
        <f t="array" ref="H115">INDEX(_xlfn.TEXTSPLIT(INDEX(_xlfn.TEXTSPLIT(C115, "/"), 5), "."), 1)</f>
        <v>acsmacrolett</v>
      </c>
      <c r="I115" t="str" cm="1">
        <f t="array" ref="I115">IF(E115="Abstract","a",LOWER(_xlfn.CONCAT(LEFT(INDEX(_xlfn.TEXTSPLIT(E115," "),1),1),INDEX(_xlfn.TEXTSPLIT(E115," "),2))))</f>
        <v>a</v>
      </c>
    </row>
    <row r="116" spans="1:9" x14ac:dyDescent="0.2">
      <c r="A116" t="str">
        <f t="shared" si="1"/>
        <v>acsmacrolett/5c00065_s1</v>
      </c>
      <c r="B116" t="s">
        <v>21</v>
      </c>
      <c r="C116" s="1" t="s">
        <v>274</v>
      </c>
      <c r="D116" t="s">
        <v>132</v>
      </c>
      <c r="E116" t="s">
        <v>40</v>
      </c>
      <c r="F116" t="s">
        <v>82</v>
      </c>
      <c r="G116">
        <v>1</v>
      </c>
      <c r="H116" t="str" cm="1">
        <f t="array" ref="H116">INDEX(_xlfn.TEXTSPLIT(INDEX(_xlfn.TEXTSPLIT(C116, "/"), 5), "."), 1)</f>
        <v>acsmacrolett</v>
      </c>
      <c r="I116" t="str" cm="1">
        <f t="array" ref="I116">IF(E116="Abstract","a",LOWER(_xlfn.CONCAT(LEFT(INDEX(_xlfn.TEXTSPLIT(E116," "),1),1),INDEX(_xlfn.TEXTSPLIT(E116," "),2))))</f>
        <v>s1</v>
      </c>
    </row>
    <row r="117" spans="1:9" x14ac:dyDescent="0.2">
      <c r="A117" t="str">
        <f t="shared" si="1"/>
        <v>acsmacrolett/5c00165_f2</v>
      </c>
      <c r="B117" t="s">
        <v>21</v>
      </c>
      <c r="C117" s="1" t="s">
        <v>272</v>
      </c>
      <c r="D117" t="s">
        <v>132</v>
      </c>
      <c r="E117" t="s">
        <v>37</v>
      </c>
      <c r="F117" t="s">
        <v>82</v>
      </c>
      <c r="G117">
        <v>5</v>
      </c>
      <c r="H117" t="str" cm="1">
        <f t="array" ref="H117">INDEX(_xlfn.TEXTSPLIT(INDEX(_xlfn.TEXTSPLIT(C117, "/"), 5), "."), 1)</f>
        <v>acsmacrolett</v>
      </c>
      <c r="I117" t="str" cm="1">
        <f t="array" ref="I117">IF(E117="Abstract","a",LOWER(_xlfn.CONCAT(LEFT(INDEX(_xlfn.TEXTSPLIT(E117," "),1),1),INDEX(_xlfn.TEXTSPLIT(E117," "),2))))</f>
        <v>f2</v>
      </c>
    </row>
    <row r="118" spans="1:9" x14ac:dyDescent="0.2">
      <c r="A118" t="str">
        <f t="shared" si="1"/>
        <v>acsmacrolett/5c00165_s2</v>
      </c>
      <c r="B118" t="s">
        <v>21</v>
      </c>
      <c r="C118" s="1" t="s">
        <v>272</v>
      </c>
      <c r="D118" t="s">
        <v>132</v>
      </c>
      <c r="E118" t="s">
        <v>41</v>
      </c>
      <c r="F118" t="s">
        <v>82</v>
      </c>
      <c r="G118">
        <v>7</v>
      </c>
      <c r="H118" t="str" cm="1">
        <f t="array" ref="H118">INDEX(_xlfn.TEXTSPLIT(INDEX(_xlfn.TEXTSPLIT(C118, "/"), 5), "."), 1)</f>
        <v>acsmacrolett</v>
      </c>
      <c r="I118" t="str" cm="1">
        <f t="array" ref="I118">IF(E118="Abstract","a",LOWER(_xlfn.CONCAT(LEFT(INDEX(_xlfn.TEXTSPLIT(E118," "),1),1),INDEX(_xlfn.TEXTSPLIT(E118," "),2))))</f>
        <v>s2</v>
      </c>
    </row>
    <row r="119" spans="1:9" x14ac:dyDescent="0.2">
      <c r="A119" t="str">
        <f t="shared" si="1"/>
        <v>acsmacrolett/5c00171_f5</v>
      </c>
      <c r="B119" t="s">
        <v>21</v>
      </c>
      <c r="C119" s="1" t="s">
        <v>270</v>
      </c>
      <c r="D119" t="s">
        <v>132</v>
      </c>
      <c r="E119" t="s">
        <v>31</v>
      </c>
      <c r="F119" t="s">
        <v>82</v>
      </c>
      <c r="G119">
        <v>1</v>
      </c>
      <c r="H119" t="str" cm="1">
        <f t="array" ref="H119">INDEX(_xlfn.TEXTSPLIT(INDEX(_xlfn.TEXTSPLIT(C119, "/"), 5), "."), 1)</f>
        <v>acsmacrolett</v>
      </c>
      <c r="I119" t="str" cm="1">
        <f t="array" ref="I119">IF(E119="Abstract","a",LOWER(_xlfn.CONCAT(LEFT(INDEX(_xlfn.TEXTSPLIT(E119," "),1),1),INDEX(_xlfn.TEXTSPLIT(E119," "),2))))</f>
        <v>f5</v>
      </c>
    </row>
    <row r="120" spans="1:9" x14ac:dyDescent="0.2">
      <c r="A120" t="str">
        <f t="shared" si="1"/>
        <v>acsmacrolett/5c00205_f5</v>
      </c>
      <c r="B120" t="s">
        <v>21</v>
      </c>
      <c r="C120" s="1" t="s">
        <v>271</v>
      </c>
      <c r="D120" t="s">
        <v>132</v>
      </c>
      <c r="E120" t="s">
        <v>31</v>
      </c>
      <c r="F120" t="s">
        <v>82</v>
      </c>
      <c r="G120">
        <v>1</v>
      </c>
      <c r="H120" t="str" cm="1">
        <f t="array" ref="H120">INDEX(_xlfn.TEXTSPLIT(INDEX(_xlfn.TEXTSPLIT(C120, "/"), 5), "."), 1)</f>
        <v>acsmacrolett</v>
      </c>
      <c r="I120" t="str" cm="1">
        <f t="array" ref="I120">IF(E120="Abstract","a",LOWER(_xlfn.CONCAT(LEFT(INDEX(_xlfn.TEXTSPLIT(E120," "),1),1),INDEX(_xlfn.TEXTSPLIT(E120," "),2))))</f>
        <v>f5</v>
      </c>
    </row>
    <row r="121" spans="1:9" x14ac:dyDescent="0.2">
      <c r="A121" t="str">
        <f t="shared" si="1"/>
        <v>acsmacrolett/7b00723_a</v>
      </c>
      <c r="B121" t="s">
        <v>21</v>
      </c>
      <c r="C121" s="1" t="s">
        <v>187</v>
      </c>
      <c r="D121" t="s">
        <v>132</v>
      </c>
      <c r="E121" t="s">
        <v>49</v>
      </c>
      <c r="F121" t="s">
        <v>188</v>
      </c>
      <c r="G121">
        <v>1</v>
      </c>
      <c r="H121" t="str" cm="1">
        <f t="array" ref="H121">INDEX(_xlfn.TEXTSPLIT(INDEX(_xlfn.TEXTSPLIT(C121, "/"), 5), "."), 1)</f>
        <v>acsmacrolett</v>
      </c>
      <c r="I121" t="str" cm="1">
        <f t="array" ref="I121">IF(E121="Abstract","a",LOWER(_xlfn.CONCAT(LEFT(INDEX(_xlfn.TEXTSPLIT(E121," "),1),1),INDEX(_xlfn.TEXTSPLIT(E121," "),2))))</f>
        <v>a</v>
      </c>
    </row>
    <row r="122" spans="1:9" x14ac:dyDescent="0.2">
      <c r="A122" t="str">
        <f t="shared" si="1"/>
        <v>acsmacrolett/7b00891_f1</v>
      </c>
      <c r="B122" t="s">
        <v>21</v>
      </c>
      <c r="C122" s="1" t="s">
        <v>194</v>
      </c>
      <c r="D122" t="s">
        <v>132</v>
      </c>
      <c r="E122" t="s">
        <v>36</v>
      </c>
      <c r="F122" t="s">
        <v>190</v>
      </c>
      <c r="G122">
        <v>4</v>
      </c>
      <c r="H122" t="str" cm="1">
        <f t="array" ref="H122">INDEX(_xlfn.TEXTSPLIT(INDEX(_xlfn.TEXTSPLIT(C122, "/"), 5), "."), 1)</f>
        <v>acsmacrolett</v>
      </c>
      <c r="I122" t="str" cm="1">
        <f t="array" ref="I122">IF(E122="Abstract","a",LOWER(_xlfn.CONCAT(LEFT(INDEX(_xlfn.TEXTSPLIT(E122," "),1),1),INDEX(_xlfn.TEXTSPLIT(E122," "),2))))</f>
        <v>f1</v>
      </c>
    </row>
    <row r="123" spans="1:9" x14ac:dyDescent="0.2">
      <c r="A123" t="str">
        <f t="shared" si="1"/>
        <v>acsmacrolett/7b00905_f2</v>
      </c>
      <c r="B123" t="s">
        <v>21</v>
      </c>
      <c r="C123" s="1" t="s">
        <v>195</v>
      </c>
      <c r="D123" t="s">
        <v>132</v>
      </c>
      <c r="E123" t="s">
        <v>37</v>
      </c>
      <c r="F123" t="s">
        <v>190</v>
      </c>
      <c r="G123">
        <v>3</v>
      </c>
      <c r="H123" t="str" cm="1">
        <f t="array" ref="H123">INDEX(_xlfn.TEXTSPLIT(INDEX(_xlfn.TEXTSPLIT(C123, "/"), 5), "."), 1)</f>
        <v>acsmacrolett</v>
      </c>
      <c r="I123" t="str" cm="1">
        <f t="array" ref="I123">IF(E123="Abstract","a",LOWER(_xlfn.CONCAT(LEFT(INDEX(_xlfn.TEXTSPLIT(E123," "),1),1),INDEX(_xlfn.TEXTSPLIT(E123," "),2))))</f>
        <v>f2</v>
      </c>
    </row>
    <row r="124" spans="1:9" x14ac:dyDescent="0.2">
      <c r="A124" t="str">
        <f t="shared" si="1"/>
        <v>acsmacrolett/7b00905_s1</v>
      </c>
      <c r="B124" t="s">
        <v>21</v>
      </c>
      <c r="C124" s="1" t="s">
        <v>195</v>
      </c>
      <c r="D124" t="s">
        <v>132</v>
      </c>
      <c r="E124" t="s">
        <v>40</v>
      </c>
      <c r="F124" t="s">
        <v>190</v>
      </c>
      <c r="G124">
        <v>3</v>
      </c>
      <c r="H124" t="str" cm="1">
        <f t="array" ref="H124">INDEX(_xlfn.TEXTSPLIT(INDEX(_xlfn.TEXTSPLIT(C124, "/"), 5), "."), 1)</f>
        <v>acsmacrolett</v>
      </c>
      <c r="I124" t="str" cm="1">
        <f t="array" ref="I124">IF(E124="Abstract","a",LOWER(_xlfn.CONCAT(LEFT(INDEX(_xlfn.TEXTSPLIT(E124," "),1),1),INDEX(_xlfn.TEXTSPLIT(E124," "),2))))</f>
        <v>s1</v>
      </c>
    </row>
    <row r="125" spans="1:9" x14ac:dyDescent="0.2">
      <c r="A125" t="str">
        <f t="shared" si="1"/>
        <v>acsmacrolett/8b00168_f1</v>
      </c>
      <c r="B125" t="s">
        <v>21</v>
      </c>
      <c r="C125" s="1" t="s">
        <v>193</v>
      </c>
      <c r="D125" t="s">
        <v>132</v>
      </c>
      <c r="E125" t="s">
        <v>36</v>
      </c>
      <c r="F125" t="s">
        <v>188</v>
      </c>
      <c r="G125">
        <v>1</v>
      </c>
      <c r="H125" t="str" cm="1">
        <f t="array" ref="H125">INDEX(_xlfn.TEXTSPLIT(INDEX(_xlfn.TEXTSPLIT(C125, "/"), 5), "."), 1)</f>
        <v>acsmacrolett</v>
      </c>
      <c r="I125" t="str" cm="1">
        <f t="array" ref="I125">IF(E125="Abstract","a",LOWER(_xlfn.CONCAT(LEFT(INDEX(_xlfn.TEXTSPLIT(E125," "),1),1),INDEX(_xlfn.TEXTSPLIT(E125," "),2))))</f>
        <v>f1</v>
      </c>
    </row>
    <row r="126" spans="1:9" x14ac:dyDescent="0.2">
      <c r="A126" t="str">
        <f t="shared" si="1"/>
        <v>acsmacrolett/8b00168_s1</v>
      </c>
      <c r="B126" t="s">
        <v>21</v>
      </c>
      <c r="C126" s="1" t="s">
        <v>193</v>
      </c>
      <c r="D126" t="s">
        <v>132</v>
      </c>
      <c r="E126" t="s">
        <v>40</v>
      </c>
      <c r="F126" t="s">
        <v>188</v>
      </c>
      <c r="G126">
        <v>3</v>
      </c>
      <c r="H126" t="str" cm="1">
        <f t="array" ref="H126">INDEX(_xlfn.TEXTSPLIT(INDEX(_xlfn.TEXTSPLIT(C126, "/"), 5), "."), 1)</f>
        <v>acsmacrolett</v>
      </c>
      <c r="I126" t="str" cm="1">
        <f t="array" ref="I126">IF(E126="Abstract","a",LOWER(_xlfn.CONCAT(LEFT(INDEX(_xlfn.TEXTSPLIT(E126," "),1),1),INDEX(_xlfn.TEXTSPLIT(E126," "),2))))</f>
        <v>s1</v>
      </c>
    </row>
    <row r="127" spans="1:9" x14ac:dyDescent="0.2">
      <c r="A127" t="str">
        <f t="shared" si="1"/>
        <v>acsmacrolett/8b00675_f1</v>
      </c>
      <c r="B127" t="s">
        <v>21</v>
      </c>
      <c r="C127" s="1" t="s">
        <v>192</v>
      </c>
      <c r="D127" t="s">
        <v>132</v>
      </c>
      <c r="E127" t="s">
        <v>36</v>
      </c>
      <c r="F127" t="s">
        <v>190</v>
      </c>
      <c r="G127">
        <v>4</v>
      </c>
      <c r="H127" t="str" cm="1">
        <f t="array" ref="H127">INDEX(_xlfn.TEXTSPLIT(INDEX(_xlfn.TEXTSPLIT(C127, "/"), 5), "."), 1)</f>
        <v>acsmacrolett</v>
      </c>
      <c r="I127" t="str" cm="1">
        <f t="array" ref="I127">IF(E127="Abstract","a",LOWER(_xlfn.CONCAT(LEFT(INDEX(_xlfn.TEXTSPLIT(E127," "),1),1),INDEX(_xlfn.TEXTSPLIT(E127," "),2))))</f>
        <v>f1</v>
      </c>
    </row>
    <row r="128" spans="1:9" x14ac:dyDescent="0.2">
      <c r="A128" t="str">
        <f t="shared" si="1"/>
        <v>acsmacrolett/8b00807_f1</v>
      </c>
      <c r="B128" t="s">
        <v>21</v>
      </c>
      <c r="C128" s="1" t="s">
        <v>191</v>
      </c>
      <c r="D128" t="s">
        <v>132</v>
      </c>
      <c r="E128" t="s">
        <v>36</v>
      </c>
      <c r="F128" t="s">
        <v>188</v>
      </c>
      <c r="G128">
        <v>1</v>
      </c>
      <c r="H128" t="str" cm="1">
        <f t="array" ref="H128">INDEX(_xlfn.TEXTSPLIT(INDEX(_xlfn.TEXTSPLIT(C128, "/"), 5), "."), 1)</f>
        <v>acsmacrolett</v>
      </c>
      <c r="I128" t="str" cm="1">
        <f t="array" ref="I128">IF(E128="Abstract","a",LOWER(_xlfn.CONCAT(LEFT(INDEX(_xlfn.TEXTSPLIT(E128," "),1),1),INDEX(_xlfn.TEXTSPLIT(E128," "),2))))</f>
        <v>f1</v>
      </c>
    </row>
    <row r="129" spans="1:9" x14ac:dyDescent="0.2">
      <c r="A129" t="str">
        <f t="shared" si="1"/>
        <v>acsmacrolett/8b00825_f1</v>
      </c>
      <c r="B129" t="s">
        <v>21</v>
      </c>
      <c r="C129" s="1" t="s">
        <v>189</v>
      </c>
      <c r="D129" t="s">
        <v>132</v>
      </c>
      <c r="E129" t="s">
        <v>36</v>
      </c>
      <c r="F129" t="s">
        <v>190</v>
      </c>
      <c r="G129">
        <v>3</v>
      </c>
      <c r="H129" t="str" cm="1">
        <f t="array" ref="H129">INDEX(_xlfn.TEXTSPLIT(INDEX(_xlfn.TEXTSPLIT(C129, "/"), 5), "."), 1)</f>
        <v>acsmacrolett</v>
      </c>
      <c r="I129" t="str" cm="1">
        <f t="array" ref="I129">IF(E129="Abstract","a",LOWER(_xlfn.CONCAT(LEFT(INDEX(_xlfn.TEXTSPLIT(E129," "),1),1),INDEX(_xlfn.TEXTSPLIT(E129," "),2))))</f>
        <v>f1</v>
      </c>
    </row>
    <row r="130" spans="1:9" x14ac:dyDescent="0.2">
      <c r="A130" t="str">
        <f t="shared" ref="A130:A193" si="2">_xlfn.CONCAT(H130, "/",RIGHT(C130,7),"_",IF(D130="SI","si_",""), I130)</f>
        <v>acsmacrolett/9b00258_a</v>
      </c>
      <c r="B130" t="s">
        <v>21</v>
      </c>
      <c r="C130" s="1" t="s">
        <v>205</v>
      </c>
      <c r="D130" t="s">
        <v>132</v>
      </c>
      <c r="E130" t="s">
        <v>49</v>
      </c>
      <c r="F130" t="s">
        <v>190</v>
      </c>
      <c r="G130">
        <v>1</v>
      </c>
      <c r="H130" t="str" cm="1">
        <f t="array" ref="H130">INDEX(_xlfn.TEXTSPLIT(INDEX(_xlfn.TEXTSPLIT(C130, "/"), 5), "."), 1)</f>
        <v>acsmacrolett</v>
      </c>
      <c r="I130" t="str" cm="1">
        <f t="array" ref="I130">IF(E130="Abstract","a",LOWER(_xlfn.CONCAT(LEFT(INDEX(_xlfn.TEXTSPLIT(E130," "),1),1),INDEX(_xlfn.TEXTSPLIT(E130," "),2))))</f>
        <v>a</v>
      </c>
    </row>
    <row r="131" spans="1:9" x14ac:dyDescent="0.2">
      <c r="A131" t="str">
        <f t="shared" si="2"/>
        <v>acsmacrolett/9b00386_f3</v>
      </c>
      <c r="B131" t="s">
        <v>21</v>
      </c>
      <c r="C131" s="1" t="s">
        <v>203</v>
      </c>
      <c r="D131" t="s">
        <v>132</v>
      </c>
      <c r="E131" t="s">
        <v>69</v>
      </c>
      <c r="F131" t="s">
        <v>188</v>
      </c>
      <c r="G131">
        <v>4</v>
      </c>
      <c r="H131" t="str" cm="1">
        <f t="array" ref="H131">INDEX(_xlfn.TEXTSPLIT(INDEX(_xlfn.TEXTSPLIT(C131, "/"), 5), "."), 1)</f>
        <v>acsmacrolett</v>
      </c>
      <c r="I131" t="str" cm="1">
        <f t="array" ref="I131">IF(E131="Abstract","a",LOWER(_xlfn.CONCAT(LEFT(INDEX(_xlfn.TEXTSPLIT(E131," "),1),1),INDEX(_xlfn.TEXTSPLIT(E131," "),2))))</f>
        <v>f3</v>
      </c>
    </row>
    <row r="132" spans="1:9" x14ac:dyDescent="0.2">
      <c r="A132" t="str">
        <f t="shared" si="2"/>
        <v>acsmacrolett/9b00459_f1</v>
      </c>
      <c r="B132" t="s">
        <v>21</v>
      </c>
      <c r="C132" s="1" t="s">
        <v>204</v>
      </c>
      <c r="D132" t="s">
        <v>132</v>
      </c>
      <c r="E132" t="s">
        <v>36</v>
      </c>
      <c r="F132" t="s">
        <v>190</v>
      </c>
      <c r="G132">
        <v>2</v>
      </c>
      <c r="H132" t="str" cm="1">
        <f t="array" ref="H132">INDEX(_xlfn.TEXTSPLIT(INDEX(_xlfn.TEXTSPLIT(C132, "/"), 5), "."), 1)</f>
        <v>acsmacrolett</v>
      </c>
      <c r="I132" t="str" cm="1">
        <f t="array" ref="I132">IF(E132="Abstract","a",LOWER(_xlfn.CONCAT(LEFT(INDEX(_xlfn.TEXTSPLIT(E132," "),1),1),INDEX(_xlfn.TEXTSPLIT(E132," "),2))))</f>
        <v>f1</v>
      </c>
    </row>
    <row r="133" spans="1:9" x14ac:dyDescent="0.2">
      <c r="A133" t="str">
        <f t="shared" si="2"/>
        <v>acsmacrolett/9b00792_s1</v>
      </c>
      <c r="B133" t="s">
        <v>21</v>
      </c>
      <c r="C133" s="1" t="s">
        <v>202</v>
      </c>
      <c r="D133" t="s">
        <v>132</v>
      </c>
      <c r="E133" t="s">
        <v>40</v>
      </c>
      <c r="F133" t="s">
        <v>190</v>
      </c>
      <c r="G133">
        <v>1</v>
      </c>
      <c r="H133" t="str" cm="1">
        <f t="array" ref="H133">INDEX(_xlfn.TEXTSPLIT(INDEX(_xlfn.TEXTSPLIT(C133, "/"), 5), "."), 1)</f>
        <v>acsmacrolett</v>
      </c>
      <c r="I133" t="str" cm="1">
        <f t="array" ref="I133">IF(E133="Abstract","a",LOWER(_xlfn.CONCAT(LEFT(INDEX(_xlfn.TEXTSPLIT(E133," "),1),1),INDEX(_xlfn.TEXTSPLIT(E133," "),2))))</f>
        <v>s1</v>
      </c>
    </row>
    <row r="134" spans="1:9" x14ac:dyDescent="0.2">
      <c r="A134" t="str">
        <f t="shared" si="2"/>
        <v>acsmacrolett/9b00792_s2</v>
      </c>
      <c r="B134" t="s">
        <v>21</v>
      </c>
      <c r="C134" s="1" t="s">
        <v>202</v>
      </c>
      <c r="D134" t="s">
        <v>132</v>
      </c>
      <c r="E134" t="s">
        <v>41</v>
      </c>
      <c r="F134" t="s">
        <v>190</v>
      </c>
      <c r="G134">
        <v>4</v>
      </c>
      <c r="H134" t="str" cm="1">
        <f t="array" ref="H134">INDEX(_xlfn.TEXTSPLIT(INDEX(_xlfn.TEXTSPLIT(C134, "/"), 5), "."), 1)</f>
        <v>acsmacrolett</v>
      </c>
      <c r="I134" t="str" cm="1">
        <f t="array" ref="I134">IF(E134="Abstract","a",LOWER(_xlfn.CONCAT(LEFT(INDEX(_xlfn.TEXTSPLIT(E134," "),1),1),INDEX(_xlfn.TEXTSPLIT(E134," "),2))))</f>
        <v>s2</v>
      </c>
    </row>
    <row r="135" spans="1:9" x14ac:dyDescent="0.2">
      <c r="A135" t="str">
        <f t="shared" si="2"/>
        <v>acsmacrolett/9b00814_f1</v>
      </c>
      <c r="B135" t="s">
        <v>21</v>
      </c>
      <c r="C135" s="1" t="s">
        <v>201</v>
      </c>
      <c r="D135" t="s">
        <v>132</v>
      </c>
      <c r="E135" t="s">
        <v>36</v>
      </c>
      <c r="F135" t="s">
        <v>188</v>
      </c>
      <c r="G135">
        <v>1</v>
      </c>
      <c r="H135" t="str" cm="1">
        <f t="array" ref="H135">INDEX(_xlfn.TEXTSPLIT(INDEX(_xlfn.TEXTSPLIT(C135, "/"), 5), "."), 1)</f>
        <v>acsmacrolett</v>
      </c>
      <c r="I135" t="str" cm="1">
        <f t="array" ref="I135">IF(E135="Abstract","a",LOWER(_xlfn.CONCAT(LEFT(INDEX(_xlfn.TEXTSPLIT(E135," "),1),1),INDEX(_xlfn.TEXTSPLIT(E135," "),2))))</f>
        <v>f1</v>
      </c>
    </row>
    <row r="136" spans="1:9" x14ac:dyDescent="0.2">
      <c r="A136" t="str">
        <f t="shared" si="2"/>
        <v>acsmacrolett/9b01023_f1</v>
      </c>
      <c r="B136" t="s">
        <v>21</v>
      </c>
      <c r="C136" s="1" t="s">
        <v>199</v>
      </c>
      <c r="D136" t="s">
        <v>132</v>
      </c>
      <c r="E136" t="s">
        <v>36</v>
      </c>
      <c r="F136" t="s">
        <v>188</v>
      </c>
      <c r="G136">
        <v>1</v>
      </c>
      <c r="H136" t="str" cm="1">
        <f t="array" ref="H136">INDEX(_xlfn.TEXTSPLIT(INDEX(_xlfn.TEXTSPLIT(C136, "/"), 5), "."), 1)</f>
        <v>acsmacrolett</v>
      </c>
      <c r="I136" t="str" cm="1">
        <f t="array" ref="I136">IF(E136="Abstract","a",LOWER(_xlfn.CONCAT(LEFT(INDEX(_xlfn.TEXTSPLIT(E136," "),1),1),INDEX(_xlfn.TEXTSPLIT(E136," "),2))))</f>
        <v>f1</v>
      </c>
    </row>
    <row r="137" spans="1:9" x14ac:dyDescent="0.2">
      <c r="A137" t="str">
        <f t="shared" si="2"/>
        <v>acspolymersau/1c00005_f4</v>
      </c>
      <c r="B137" t="s">
        <v>2</v>
      </c>
      <c r="C137" s="1" t="s">
        <v>35</v>
      </c>
      <c r="D137" t="s">
        <v>132</v>
      </c>
      <c r="E137" t="s">
        <v>34</v>
      </c>
      <c r="F137" t="s">
        <v>81</v>
      </c>
      <c r="G137">
        <v>1</v>
      </c>
      <c r="H137" t="str" cm="1">
        <f t="array" ref="H137">INDEX(_xlfn.TEXTSPLIT(INDEX(_xlfn.TEXTSPLIT(C137, "/"), 5), "."), 1)</f>
        <v>acspolymersau</v>
      </c>
      <c r="I137" t="str" cm="1">
        <f t="array" ref="I137">IF(E137="Abstract","a",LOWER(_xlfn.CONCAT(LEFT(INDEX(_xlfn.TEXTSPLIT(E137," "),1),1),INDEX(_xlfn.TEXTSPLIT(E137," "),2))))</f>
        <v>f4</v>
      </c>
    </row>
    <row r="138" spans="1:9" x14ac:dyDescent="0.2">
      <c r="A138" t="str">
        <f t="shared" si="2"/>
        <v>acspolymersau/1c00005_f7</v>
      </c>
      <c r="B138" t="s">
        <v>2</v>
      </c>
      <c r="C138" s="1" t="s">
        <v>35</v>
      </c>
      <c r="D138" t="s">
        <v>132</v>
      </c>
      <c r="E138" t="s">
        <v>33</v>
      </c>
      <c r="F138" t="s">
        <v>81</v>
      </c>
      <c r="G138">
        <v>2</v>
      </c>
      <c r="H138" t="str" cm="1">
        <f t="array" ref="H138">INDEX(_xlfn.TEXTSPLIT(INDEX(_xlfn.TEXTSPLIT(C138, "/"), 5), "."), 1)</f>
        <v>acspolymersau</v>
      </c>
      <c r="I138" t="str" cm="1">
        <f t="array" ref="I138">IF(E138="Abstract","a",LOWER(_xlfn.CONCAT(LEFT(INDEX(_xlfn.TEXTSPLIT(E138," "),1),1),INDEX(_xlfn.TEXTSPLIT(E138," "),2))))</f>
        <v>f7</v>
      </c>
    </row>
    <row r="139" spans="1:9" x14ac:dyDescent="0.2">
      <c r="A139" t="str">
        <f t="shared" si="2"/>
        <v>acspolymersau/1c00008_f1</v>
      </c>
      <c r="B139" t="s">
        <v>2</v>
      </c>
      <c r="C139" s="1" t="s">
        <v>38</v>
      </c>
      <c r="D139" t="s">
        <v>132</v>
      </c>
      <c r="E139" t="s">
        <v>36</v>
      </c>
      <c r="F139" t="s">
        <v>81</v>
      </c>
      <c r="G139">
        <v>2</v>
      </c>
      <c r="H139" t="str" cm="1">
        <f t="array" ref="H139">INDEX(_xlfn.TEXTSPLIT(INDEX(_xlfn.TEXTSPLIT(C139, "/"), 5), "."), 1)</f>
        <v>acspolymersau</v>
      </c>
      <c r="I139" t="str" cm="1">
        <f t="array" ref="I139">IF(E139="Abstract","a",LOWER(_xlfn.CONCAT(LEFT(INDEX(_xlfn.TEXTSPLIT(E139," "),1),1),INDEX(_xlfn.TEXTSPLIT(E139," "),2))))</f>
        <v>f1</v>
      </c>
    </row>
    <row r="140" spans="1:9" x14ac:dyDescent="0.2">
      <c r="A140" t="str">
        <f t="shared" si="2"/>
        <v>acspolymersau/1c00010_s1</v>
      </c>
      <c r="B140" t="s">
        <v>2</v>
      </c>
      <c r="C140" s="1" t="s">
        <v>39</v>
      </c>
      <c r="D140" t="s">
        <v>132</v>
      </c>
      <c r="E140" t="s">
        <v>40</v>
      </c>
      <c r="F140" t="s">
        <v>82</v>
      </c>
      <c r="G140">
        <v>2</v>
      </c>
      <c r="H140" t="str" cm="1">
        <f t="array" ref="H140">INDEX(_xlfn.TEXTSPLIT(INDEX(_xlfn.TEXTSPLIT(C140, "/"), 5), "."), 1)</f>
        <v>acspolymersau</v>
      </c>
      <c r="I140" t="str" cm="1">
        <f t="array" ref="I140">IF(E140="Abstract","a",LOWER(_xlfn.CONCAT(LEFT(INDEX(_xlfn.TEXTSPLIT(E140," "),1),1),INDEX(_xlfn.TEXTSPLIT(E140," "),2))))</f>
        <v>s1</v>
      </c>
    </row>
    <row r="141" spans="1:9" x14ac:dyDescent="0.2">
      <c r="A141" t="str">
        <f t="shared" si="2"/>
        <v>acspolymersau/1c00010_s2</v>
      </c>
      <c r="B141" t="s">
        <v>2</v>
      </c>
      <c r="C141" s="1" t="s">
        <v>39</v>
      </c>
      <c r="D141" t="s">
        <v>132</v>
      </c>
      <c r="E141" t="s">
        <v>41</v>
      </c>
      <c r="F141" t="s">
        <v>82</v>
      </c>
      <c r="G141">
        <v>2</v>
      </c>
      <c r="H141" t="str" cm="1">
        <f t="array" ref="H141">INDEX(_xlfn.TEXTSPLIT(INDEX(_xlfn.TEXTSPLIT(C141, "/"), 5), "."), 1)</f>
        <v>acspolymersau</v>
      </c>
      <c r="I141" t="str" cm="1">
        <f t="array" ref="I141">IF(E141="Abstract","a",LOWER(_xlfn.CONCAT(LEFT(INDEX(_xlfn.TEXTSPLIT(E141," "),1),1),INDEX(_xlfn.TEXTSPLIT(E141," "),2))))</f>
        <v>s2</v>
      </c>
    </row>
    <row r="142" spans="1:9" x14ac:dyDescent="0.2">
      <c r="A142" t="str">
        <f t="shared" si="2"/>
        <v>acspolymersau/1c00011_s1</v>
      </c>
      <c r="B142" t="s">
        <v>2</v>
      </c>
      <c r="C142" s="1" t="s">
        <v>42</v>
      </c>
      <c r="D142" t="s">
        <v>132</v>
      </c>
      <c r="E142" t="s">
        <v>40</v>
      </c>
      <c r="F142" t="s">
        <v>81</v>
      </c>
      <c r="G142">
        <v>5</v>
      </c>
      <c r="H142" t="str" cm="1">
        <f t="array" ref="H142">INDEX(_xlfn.TEXTSPLIT(INDEX(_xlfn.TEXTSPLIT(C142, "/"), 5), "."), 1)</f>
        <v>acspolymersau</v>
      </c>
      <c r="I142" t="str" cm="1">
        <f t="array" ref="I142">IF(E142="Abstract","a",LOWER(_xlfn.CONCAT(LEFT(INDEX(_xlfn.TEXTSPLIT(E142," "),1),1),INDEX(_xlfn.TEXTSPLIT(E142," "),2))))</f>
        <v>s1</v>
      </c>
    </row>
    <row r="143" spans="1:9" x14ac:dyDescent="0.2">
      <c r="A143" t="str">
        <f t="shared" si="2"/>
        <v>acspolymersau/1c00011_si_ps2</v>
      </c>
      <c r="B143" t="s">
        <v>2</v>
      </c>
      <c r="C143" s="1" t="s">
        <v>42</v>
      </c>
      <c r="D143" t="s">
        <v>46</v>
      </c>
      <c r="E143" t="s">
        <v>133</v>
      </c>
      <c r="F143" t="s">
        <v>81</v>
      </c>
      <c r="G143">
        <v>1</v>
      </c>
      <c r="H143" t="str" cm="1">
        <f t="array" ref="H143">INDEX(_xlfn.TEXTSPLIT(INDEX(_xlfn.TEXTSPLIT(C143, "/"), 5), "."), 1)</f>
        <v>acspolymersau</v>
      </c>
      <c r="I143" t="str" cm="1">
        <f t="array" ref="I143">IF(E143="Abstract","a",LOWER(_xlfn.CONCAT(LEFT(INDEX(_xlfn.TEXTSPLIT(E143," "),1),1),INDEX(_xlfn.TEXTSPLIT(E143," "),2))))</f>
        <v>ps2</v>
      </c>
    </row>
    <row r="144" spans="1:9" x14ac:dyDescent="0.2">
      <c r="A144" t="str">
        <f t="shared" si="2"/>
        <v>acspolymersau/1c00012_f5</v>
      </c>
      <c r="B144" t="s">
        <v>2</v>
      </c>
      <c r="C144" s="1" t="s">
        <v>30</v>
      </c>
      <c r="D144" t="s">
        <v>132</v>
      </c>
      <c r="E144" t="s">
        <v>31</v>
      </c>
      <c r="F144" t="s">
        <v>81</v>
      </c>
      <c r="G144">
        <v>3</v>
      </c>
      <c r="H144" t="str" cm="1">
        <f t="array" ref="H144">INDEX(_xlfn.TEXTSPLIT(INDEX(_xlfn.TEXTSPLIT(C144, "/"), 5), "."), 1)</f>
        <v>acspolymersau</v>
      </c>
      <c r="I144" t="str" cm="1">
        <f t="array" ref="I144">IF(E144="Abstract","a",LOWER(_xlfn.CONCAT(LEFT(INDEX(_xlfn.TEXTSPLIT(E144," "),1),1),INDEX(_xlfn.TEXTSPLIT(E144," "),2))))</f>
        <v>f5</v>
      </c>
    </row>
    <row r="145" spans="1:9" x14ac:dyDescent="0.2">
      <c r="A145" t="str">
        <f t="shared" si="2"/>
        <v>acspolymersau/1c00015_f6</v>
      </c>
      <c r="B145" t="s">
        <v>2</v>
      </c>
      <c r="C145" s="1" t="s">
        <v>51</v>
      </c>
      <c r="D145" t="s">
        <v>132</v>
      </c>
      <c r="E145" t="s">
        <v>32</v>
      </c>
      <c r="F145" t="s">
        <v>81</v>
      </c>
      <c r="G145">
        <v>1</v>
      </c>
      <c r="H145" t="str" cm="1">
        <f t="array" ref="H145">INDEX(_xlfn.TEXTSPLIT(INDEX(_xlfn.TEXTSPLIT(C145, "/"), 5), "."), 1)</f>
        <v>acspolymersau</v>
      </c>
      <c r="I145" t="str" cm="1">
        <f t="array" ref="I145">IF(E145="Abstract","a",LOWER(_xlfn.CONCAT(LEFT(INDEX(_xlfn.TEXTSPLIT(E145," "),1),1),INDEX(_xlfn.TEXTSPLIT(E145," "),2))))</f>
        <v>f6</v>
      </c>
    </row>
    <row r="146" spans="1:9" x14ac:dyDescent="0.2">
      <c r="A146" t="str">
        <f t="shared" si="2"/>
        <v>acspolymersau/1c00017_f1</v>
      </c>
      <c r="B146" t="s">
        <v>2</v>
      </c>
      <c r="C146" s="1" t="s">
        <v>47</v>
      </c>
      <c r="D146" t="s">
        <v>132</v>
      </c>
      <c r="E146" t="s">
        <v>36</v>
      </c>
      <c r="F146" t="s">
        <v>81</v>
      </c>
      <c r="G146">
        <v>2</v>
      </c>
      <c r="H146" t="str" cm="1">
        <f t="array" ref="H146">INDEX(_xlfn.TEXTSPLIT(INDEX(_xlfn.TEXTSPLIT(C146, "/"), 5), "."), 1)</f>
        <v>acspolymersau</v>
      </c>
      <c r="I146" t="str" cm="1">
        <f t="array" ref="I146">IF(E146="Abstract","a",LOWER(_xlfn.CONCAT(LEFT(INDEX(_xlfn.TEXTSPLIT(E146," "),1),1),INDEX(_xlfn.TEXTSPLIT(E146," "),2))))</f>
        <v>f1</v>
      </c>
    </row>
    <row r="147" spans="1:9" x14ac:dyDescent="0.2">
      <c r="A147" t="str">
        <f t="shared" si="2"/>
        <v>acspolymersau/1c00017_si_fs2</v>
      </c>
      <c r="B147" t="s">
        <v>2</v>
      </c>
      <c r="C147" s="1" t="s">
        <v>47</v>
      </c>
      <c r="D147" t="s">
        <v>46</v>
      </c>
      <c r="E147" t="s">
        <v>134</v>
      </c>
      <c r="F147" t="s">
        <v>81</v>
      </c>
      <c r="G147">
        <v>1</v>
      </c>
      <c r="H147" t="str" cm="1">
        <f t="array" ref="H147">INDEX(_xlfn.TEXTSPLIT(INDEX(_xlfn.TEXTSPLIT(C147, "/"), 5), "."), 1)</f>
        <v>acspolymersau</v>
      </c>
      <c r="I147" t="str" cm="1">
        <f t="array" ref="I147">IF(E147="Abstract","a",LOWER(_xlfn.CONCAT(LEFT(INDEX(_xlfn.TEXTSPLIT(E147," "),1),1),INDEX(_xlfn.TEXTSPLIT(E147," "),2))))</f>
        <v>fs2</v>
      </c>
    </row>
    <row r="148" spans="1:9" x14ac:dyDescent="0.2">
      <c r="A148" t="str">
        <f t="shared" si="2"/>
        <v>acspolymersau/1c00021_f1</v>
      </c>
      <c r="B148" t="s">
        <v>2</v>
      </c>
      <c r="C148" s="1" t="s">
        <v>48</v>
      </c>
      <c r="D148" t="s">
        <v>132</v>
      </c>
      <c r="E148" t="s">
        <v>36</v>
      </c>
      <c r="F148" t="s">
        <v>81</v>
      </c>
      <c r="G148">
        <v>1</v>
      </c>
      <c r="H148" t="str" cm="1">
        <f t="array" ref="H148">INDEX(_xlfn.TEXTSPLIT(INDEX(_xlfn.TEXTSPLIT(C148, "/"), 5), "."), 1)</f>
        <v>acspolymersau</v>
      </c>
      <c r="I148" t="str" cm="1">
        <f t="array" ref="I148">IF(E148="Abstract","a",LOWER(_xlfn.CONCAT(LEFT(INDEX(_xlfn.TEXTSPLIT(E148," "),1),1),INDEX(_xlfn.TEXTSPLIT(E148," "),2))))</f>
        <v>f1</v>
      </c>
    </row>
    <row r="149" spans="1:9" x14ac:dyDescent="0.2">
      <c r="A149" t="str">
        <f t="shared" si="2"/>
        <v>acspolymersau/1c00021_f2</v>
      </c>
      <c r="B149" t="s">
        <v>2</v>
      </c>
      <c r="C149" s="1" t="s">
        <v>48</v>
      </c>
      <c r="D149" t="s">
        <v>132</v>
      </c>
      <c r="E149" t="s">
        <v>37</v>
      </c>
      <c r="F149" t="s">
        <v>81</v>
      </c>
      <c r="G149">
        <v>1</v>
      </c>
      <c r="H149" t="str" cm="1">
        <f t="array" ref="H149">INDEX(_xlfn.TEXTSPLIT(INDEX(_xlfn.TEXTSPLIT(C149, "/"), 5), "."), 1)</f>
        <v>acspolymersau</v>
      </c>
      <c r="I149" t="str" cm="1">
        <f t="array" ref="I149">IF(E149="Abstract","a",LOWER(_xlfn.CONCAT(LEFT(INDEX(_xlfn.TEXTSPLIT(E149," "),1),1),INDEX(_xlfn.TEXTSPLIT(E149," "),2))))</f>
        <v>f2</v>
      </c>
    </row>
    <row r="150" spans="1:9" x14ac:dyDescent="0.2">
      <c r="A150" t="str">
        <f t="shared" si="2"/>
        <v>acspolymersau/1c00024_f1</v>
      </c>
      <c r="B150" t="s">
        <v>2</v>
      </c>
      <c r="C150" s="1" t="s">
        <v>55</v>
      </c>
      <c r="D150" t="s">
        <v>132</v>
      </c>
      <c r="E150" t="s">
        <v>36</v>
      </c>
      <c r="F150" t="s">
        <v>81</v>
      </c>
      <c r="G150">
        <v>2</v>
      </c>
      <c r="H150" t="str" cm="1">
        <f t="array" ref="H150">INDEX(_xlfn.TEXTSPLIT(INDEX(_xlfn.TEXTSPLIT(C150, "/"), 5), "."), 1)</f>
        <v>acspolymersau</v>
      </c>
      <c r="I150" t="str" cm="1">
        <f t="array" ref="I150">IF(E150="Abstract","a",LOWER(_xlfn.CONCAT(LEFT(INDEX(_xlfn.TEXTSPLIT(E150," "),1),1),INDEX(_xlfn.TEXTSPLIT(E150," "),2))))</f>
        <v>f1</v>
      </c>
    </row>
    <row r="151" spans="1:9" x14ac:dyDescent="0.2">
      <c r="A151" t="str">
        <f t="shared" si="2"/>
        <v>acspolymersau/1c00027_a</v>
      </c>
      <c r="B151" t="s">
        <v>2</v>
      </c>
      <c r="C151" s="1" t="s">
        <v>50</v>
      </c>
      <c r="D151" t="s">
        <v>132</v>
      </c>
      <c r="E151" t="s">
        <v>49</v>
      </c>
      <c r="F151" t="s">
        <v>81</v>
      </c>
      <c r="G151">
        <v>4</v>
      </c>
      <c r="H151" t="str" cm="1">
        <f t="array" ref="H151">INDEX(_xlfn.TEXTSPLIT(INDEX(_xlfn.TEXTSPLIT(C151, "/"), 5), "."), 1)</f>
        <v>acspolymersau</v>
      </c>
      <c r="I151" t="str" cm="1">
        <f t="array" ref="I151">IF(E151="Abstract","a",LOWER(_xlfn.CONCAT(LEFT(INDEX(_xlfn.TEXTSPLIT(E151," "),1),1),INDEX(_xlfn.TEXTSPLIT(E151," "),2))))</f>
        <v>a</v>
      </c>
    </row>
    <row r="152" spans="1:9" x14ac:dyDescent="0.2">
      <c r="A152" t="str">
        <f t="shared" si="2"/>
        <v>acspolymersau/1c00028_si_fs3a</v>
      </c>
      <c r="B152" t="s">
        <v>2</v>
      </c>
      <c r="C152" s="1" t="s">
        <v>53</v>
      </c>
      <c r="D152" t="s">
        <v>46</v>
      </c>
      <c r="E152" t="s">
        <v>172</v>
      </c>
      <c r="F152" t="s">
        <v>81</v>
      </c>
      <c r="G152">
        <v>1</v>
      </c>
      <c r="H152" t="str" cm="1">
        <f t="array" ref="H152">INDEX(_xlfn.TEXTSPLIT(INDEX(_xlfn.TEXTSPLIT(C152, "/"), 5), "."), 1)</f>
        <v>acspolymersau</v>
      </c>
      <c r="I152" t="str" cm="1">
        <f t="array" ref="I152">IF(E152="Abstract","a",LOWER(_xlfn.CONCAT(LEFT(INDEX(_xlfn.TEXTSPLIT(E152," "),1),1),INDEX(_xlfn.TEXTSPLIT(E152," "),2))))</f>
        <v>fs3a</v>
      </c>
    </row>
    <row r="153" spans="1:9" x14ac:dyDescent="0.2">
      <c r="A153" t="str">
        <f t="shared" si="2"/>
        <v>acspolymersau/1c00028_si_fs3b</v>
      </c>
      <c r="B153" t="s">
        <v>2</v>
      </c>
      <c r="C153" s="1" t="s">
        <v>53</v>
      </c>
      <c r="D153" t="s">
        <v>46</v>
      </c>
      <c r="E153" t="s">
        <v>173</v>
      </c>
      <c r="F153" t="s">
        <v>81</v>
      </c>
      <c r="G153">
        <v>1</v>
      </c>
      <c r="H153" t="str" cm="1">
        <f t="array" ref="H153">INDEX(_xlfn.TEXTSPLIT(INDEX(_xlfn.TEXTSPLIT(C153, "/"), 5), "."), 1)</f>
        <v>acspolymersau</v>
      </c>
      <c r="I153" t="str" cm="1">
        <f t="array" ref="I153">IF(E153="Abstract","a",LOWER(_xlfn.CONCAT(LEFT(INDEX(_xlfn.TEXTSPLIT(E153," "),1),1),INDEX(_xlfn.TEXTSPLIT(E153," "),2))))</f>
        <v>fs3b</v>
      </c>
    </row>
    <row r="154" spans="1:9" x14ac:dyDescent="0.2">
      <c r="A154" t="str">
        <f t="shared" si="2"/>
        <v>acspolymersau/1c00028_si_fs3c</v>
      </c>
      <c r="B154" t="s">
        <v>2</v>
      </c>
      <c r="C154" s="1" t="s">
        <v>53</v>
      </c>
      <c r="D154" t="s">
        <v>46</v>
      </c>
      <c r="E154" t="s">
        <v>174</v>
      </c>
      <c r="F154" t="s">
        <v>81</v>
      </c>
      <c r="G154">
        <v>1</v>
      </c>
      <c r="H154" t="str" cm="1">
        <f t="array" ref="H154">INDEX(_xlfn.TEXTSPLIT(INDEX(_xlfn.TEXTSPLIT(C154, "/"), 5), "."), 1)</f>
        <v>acspolymersau</v>
      </c>
      <c r="I154" t="str" cm="1">
        <f t="array" ref="I154">IF(E154="Abstract","a",LOWER(_xlfn.CONCAT(LEFT(INDEX(_xlfn.TEXTSPLIT(E154," "),1),1),INDEX(_xlfn.TEXTSPLIT(E154," "),2))))</f>
        <v>fs3c</v>
      </c>
    </row>
    <row r="155" spans="1:9" x14ac:dyDescent="0.2">
      <c r="A155" t="str">
        <f t="shared" si="2"/>
        <v>acspolymersau/1c00028_si_fs3d</v>
      </c>
      <c r="B155" t="s">
        <v>2</v>
      </c>
      <c r="C155" s="1" t="s">
        <v>53</v>
      </c>
      <c r="D155" t="s">
        <v>46</v>
      </c>
      <c r="E155" t="s">
        <v>175</v>
      </c>
      <c r="F155" t="s">
        <v>81</v>
      </c>
      <c r="G155">
        <v>1</v>
      </c>
      <c r="H155" t="str" cm="1">
        <f t="array" ref="H155">INDEX(_xlfn.TEXTSPLIT(INDEX(_xlfn.TEXTSPLIT(C155, "/"), 5), "."), 1)</f>
        <v>acspolymersau</v>
      </c>
      <c r="I155" t="str" cm="1">
        <f t="array" ref="I155">IF(E155="Abstract","a",LOWER(_xlfn.CONCAT(LEFT(INDEX(_xlfn.TEXTSPLIT(E155," "),1),1),INDEX(_xlfn.TEXTSPLIT(E155," "),2))))</f>
        <v>fs3d</v>
      </c>
    </row>
    <row r="156" spans="1:9" x14ac:dyDescent="0.2">
      <c r="A156" t="str">
        <f t="shared" si="2"/>
        <v>acspolymersau/1c00028_si_fs3e</v>
      </c>
      <c r="B156" t="s">
        <v>2</v>
      </c>
      <c r="C156" s="1" t="s">
        <v>53</v>
      </c>
      <c r="D156" t="s">
        <v>46</v>
      </c>
      <c r="E156" t="s">
        <v>176</v>
      </c>
      <c r="F156" t="s">
        <v>81</v>
      </c>
      <c r="G156">
        <v>1</v>
      </c>
      <c r="H156" t="str" cm="1">
        <f t="array" ref="H156">INDEX(_xlfn.TEXTSPLIT(INDEX(_xlfn.TEXTSPLIT(C156, "/"), 5), "."), 1)</f>
        <v>acspolymersau</v>
      </c>
      <c r="I156" t="str" cm="1">
        <f t="array" ref="I156">IF(E156="Abstract","a",LOWER(_xlfn.CONCAT(LEFT(INDEX(_xlfn.TEXTSPLIT(E156," "),1),1),INDEX(_xlfn.TEXTSPLIT(E156," "),2))))</f>
        <v>fs3e</v>
      </c>
    </row>
    <row r="157" spans="1:9" x14ac:dyDescent="0.2">
      <c r="A157" t="str">
        <f t="shared" si="2"/>
        <v>acspolymersau/1c00028_si_fs3f</v>
      </c>
      <c r="B157" t="s">
        <v>2</v>
      </c>
      <c r="C157" s="1" t="s">
        <v>53</v>
      </c>
      <c r="D157" t="s">
        <v>46</v>
      </c>
      <c r="E157" t="s">
        <v>177</v>
      </c>
      <c r="F157" t="s">
        <v>81</v>
      </c>
      <c r="G157">
        <v>1</v>
      </c>
      <c r="H157" t="str" cm="1">
        <f t="array" ref="H157">INDEX(_xlfn.TEXTSPLIT(INDEX(_xlfn.TEXTSPLIT(C157, "/"), 5), "."), 1)</f>
        <v>acspolymersau</v>
      </c>
      <c r="I157" t="str" cm="1">
        <f t="array" ref="I157">IF(E157="Abstract","a",LOWER(_xlfn.CONCAT(LEFT(INDEX(_xlfn.TEXTSPLIT(E157," "),1),1),INDEX(_xlfn.TEXTSPLIT(E157," "),2))))</f>
        <v>fs3f</v>
      </c>
    </row>
    <row r="158" spans="1:9" x14ac:dyDescent="0.2">
      <c r="A158" t="str">
        <f t="shared" si="2"/>
        <v>acspolymersau/1c00028_si_fs3g</v>
      </c>
      <c r="B158" t="s">
        <v>2</v>
      </c>
      <c r="C158" s="1" t="s">
        <v>53</v>
      </c>
      <c r="D158" t="s">
        <v>46</v>
      </c>
      <c r="E158" t="s">
        <v>178</v>
      </c>
      <c r="F158" t="s">
        <v>81</v>
      </c>
      <c r="G158">
        <v>1</v>
      </c>
      <c r="H158" t="str" cm="1">
        <f t="array" ref="H158">INDEX(_xlfn.TEXTSPLIT(INDEX(_xlfn.TEXTSPLIT(C158, "/"), 5), "."), 1)</f>
        <v>acspolymersau</v>
      </c>
      <c r="I158" t="str" cm="1">
        <f t="array" ref="I158">IF(E158="Abstract","a",LOWER(_xlfn.CONCAT(LEFT(INDEX(_xlfn.TEXTSPLIT(E158," "),1),1),INDEX(_xlfn.TEXTSPLIT(E158," "),2))))</f>
        <v>fs3g</v>
      </c>
    </row>
    <row r="159" spans="1:9" x14ac:dyDescent="0.2">
      <c r="A159" t="str">
        <f t="shared" si="2"/>
        <v>acspolymersau/1c00028_si_fs3h</v>
      </c>
      <c r="B159" t="s">
        <v>2</v>
      </c>
      <c r="C159" s="1" t="s">
        <v>53</v>
      </c>
      <c r="D159" t="s">
        <v>46</v>
      </c>
      <c r="E159" t="s">
        <v>179</v>
      </c>
      <c r="F159" t="s">
        <v>81</v>
      </c>
      <c r="G159">
        <v>1</v>
      </c>
      <c r="H159" t="str" cm="1">
        <f t="array" ref="H159">INDEX(_xlfn.TEXTSPLIT(INDEX(_xlfn.TEXTSPLIT(C159, "/"), 5), "."), 1)</f>
        <v>acspolymersau</v>
      </c>
      <c r="I159" t="str" cm="1">
        <f t="array" ref="I159">IF(E159="Abstract","a",LOWER(_xlfn.CONCAT(LEFT(INDEX(_xlfn.TEXTSPLIT(E159," "),1),1),INDEX(_xlfn.TEXTSPLIT(E159," "),2))))</f>
        <v>fs3h</v>
      </c>
    </row>
    <row r="160" spans="1:9" x14ac:dyDescent="0.2">
      <c r="A160" t="str">
        <f t="shared" si="2"/>
        <v>acspolymersau/1c00028_si_fs4a</v>
      </c>
      <c r="B160" t="s">
        <v>2</v>
      </c>
      <c r="C160" s="1" t="s">
        <v>53</v>
      </c>
      <c r="D160" t="s">
        <v>46</v>
      </c>
      <c r="E160" t="s">
        <v>180</v>
      </c>
      <c r="F160" t="s">
        <v>81</v>
      </c>
      <c r="G160">
        <v>1</v>
      </c>
      <c r="H160" t="str" cm="1">
        <f t="array" ref="H160">INDEX(_xlfn.TEXTSPLIT(INDEX(_xlfn.TEXTSPLIT(C160, "/"), 5), "."), 1)</f>
        <v>acspolymersau</v>
      </c>
      <c r="I160" t="str" cm="1">
        <f t="array" ref="I160">IF(E160="Abstract","a",LOWER(_xlfn.CONCAT(LEFT(INDEX(_xlfn.TEXTSPLIT(E160," "),1),1),INDEX(_xlfn.TEXTSPLIT(E160," "),2))))</f>
        <v>fs4a</v>
      </c>
    </row>
    <row r="161" spans="1:9" x14ac:dyDescent="0.2">
      <c r="A161" t="str">
        <f t="shared" si="2"/>
        <v>acspolymersau/1c00028_si_fs4b</v>
      </c>
      <c r="B161" t="s">
        <v>2</v>
      </c>
      <c r="C161" s="1" t="s">
        <v>53</v>
      </c>
      <c r="D161" t="s">
        <v>46</v>
      </c>
      <c r="E161" t="s">
        <v>181</v>
      </c>
      <c r="F161" t="s">
        <v>81</v>
      </c>
      <c r="G161">
        <v>1</v>
      </c>
      <c r="H161" t="str" cm="1">
        <f t="array" ref="H161">INDEX(_xlfn.TEXTSPLIT(INDEX(_xlfn.TEXTSPLIT(C161, "/"), 5), "."), 1)</f>
        <v>acspolymersau</v>
      </c>
      <c r="I161" t="str" cm="1">
        <f t="array" ref="I161">IF(E161="Abstract","a",LOWER(_xlfn.CONCAT(LEFT(INDEX(_xlfn.TEXTSPLIT(E161," "),1),1),INDEX(_xlfn.TEXTSPLIT(E161," "),2))))</f>
        <v>fs4b</v>
      </c>
    </row>
    <row r="162" spans="1:9" x14ac:dyDescent="0.2">
      <c r="A162" t="str">
        <f t="shared" si="2"/>
        <v>acspolymersau/1c00028_si_fs4c</v>
      </c>
      <c r="B162" t="s">
        <v>2</v>
      </c>
      <c r="C162" s="1" t="s">
        <v>53</v>
      </c>
      <c r="D162" t="s">
        <v>46</v>
      </c>
      <c r="E162" t="s">
        <v>182</v>
      </c>
      <c r="F162" t="s">
        <v>81</v>
      </c>
      <c r="G162">
        <v>1</v>
      </c>
      <c r="H162" t="str" cm="1">
        <f t="array" ref="H162">INDEX(_xlfn.TEXTSPLIT(INDEX(_xlfn.TEXTSPLIT(C162, "/"), 5), "."), 1)</f>
        <v>acspolymersau</v>
      </c>
      <c r="I162" t="str" cm="1">
        <f t="array" ref="I162">IF(E162="Abstract","a",LOWER(_xlfn.CONCAT(LEFT(INDEX(_xlfn.TEXTSPLIT(E162," "),1),1),INDEX(_xlfn.TEXTSPLIT(E162," "),2))))</f>
        <v>fs4c</v>
      </c>
    </row>
    <row r="163" spans="1:9" x14ac:dyDescent="0.2">
      <c r="A163" t="str">
        <f t="shared" si="2"/>
        <v>acspolymersau/1c00029_a</v>
      </c>
      <c r="B163" t="s">
        <v>2</v>
      </c>
      <c r="C163" s="1" t="s">
        <v>58</v>
      </c>
      <c r="D163" t="s">
        <v>132</v>
      </c>
      <c r="E163" t="s">
        <v>49</v>
      </c>
      <c r="F163" t="s">
        <v>82</v>
      </c>
      <c r="G163">
        <v>1</v>
      </c>
      <c r="H163" t="str" cm="1">
        <f t="array" ref="H163">INDEX(_xlfn.TEXTSPLIT(INDEX(_xlfn.TEXTSPLIT(C163, "/"), 5), "."), 1)</f>
        <v>acspolymersau</v>
      </c>
      <c r="I163" t="str" cm="1">
        <f t="array" ref="I163">IF(E163="Abstract","a",LOWER(_xlfn.CONCAT(LEFT(INDEX(_xlfn.TEXTSPLIT(E163," "),1),1),INDEX(_xlfn.TEXTSPLIT(E163," "),2))))</f>
        <v>a</v>
      </c>
    </row>
    <row r="164" spans="1:9" x14ac:dyDescent="0.2">
      <c r="A164" t="str">
        <f t="shared" si="2"/>
        <v>acspolymersau/1c00029_s1</v>
      </c>
      <c r="B164" t="s">
        <v>2</v>
      </c>
      <c r="C164" s="1" t="s">
        <v>58</v>
      </c>
      <c r="D164" t="s">
        <v>132</v>
      </c>
      <c r="E164" t="s">
        <v>40</v>
      </c>
      <c r="F164" t="s">
        <v>82</v>
      </c>
      <c r="G164">
        <v>1</v>
      </c>
      <c r="H164" t="str" cm="1">
        <f t="array" ref="H164">INDEX(_xlfn.TEXTSPLIT(INDEX(_xlfn.TEXTSPLIT(C164, "/"), 5), "."), 1)</f>
        <v>acspolymersau</v>
      </c>
      <c r="I164" t="str" cm="1">
        <f t="array" ref="I164">IF(E164="Abstract","a",LOWER(_xlfn.CONCAT(LEFT(INDEX(_xlfn.TEXTSPLIT(E164," "),1),1),INDEX(_xlfn.TEXTSPLIT(E164," "),2))))</f>
        <v>s1</v>
      </c>
    </row>
    <row r="165" spans="1:9" x14ac:dyDescent="0.2">
      <c r="A165" t="str">
        <f t="shared" si="2"/>
        <v>acspolymersau/1c00030_f5</v>
      </c>
      <c r="B165" t="s">
        <v>2</v>
      </c>
      <c r="C165" s="1" t="s">
        <v>52</v>
      </c>
      <c r="D165" t="s">
        <v>132</v>
      </c>
      <c r="E165" t="s">
        <v>31</v>
      </c>
      <c r="F165" t="s">
        <v>81</v>
      </c>
      <c r="G165">
        <v>2</v>
      </c>
      <c r="H165" t="str" cm="1">
        <f t="array" ref="H165">INDEX(_xlfn.TEXTSPLIT(INDEX(_xlfn.TEXTSPLIT(C165, "/"), 5), "."), 1)</f>
        <v>acspolymersau</v>
      </c>
      <c r="I165" t="str" cm="1">
        <f t="array" ref="I165">IF(E165="Abstract","a",LOWER(_xlfn.CONCAT(LEFT(INDEX(_xlfn.TEXTSPLIT(E165," "),1),1),INDEX(_xlfn.TEXTSPLIT(E165," "),2))))</f>
        <v>f5</v>
      </c>
    </row>
    <row r="166" spans="1:9" x14ac:dyDescent="0.2">
      <c r="A166" t="str">
        <f t="shared" si="2"/>
        <v>acspolymersau/1c00030_si_ss1</v>
      </c>
      <c r="B166" t="s">
        <v>2</v>
      </c>
      <c r="C166" s="1" t="s">
        <v>52</v>
      </c>
      <c r="D166" t="s">
        <v>46</v>
      </c>
      <c r="E166" t="s">
        <v>135</v>
      </c>
      <c r="F166" t="s">
        <v>81</v>
      </c>
      <c r="G166">
        <v>1</v>
      </c>
      <c r="H166" t="str" cm="1">
        <f t="array" ref="H166">INDEX(_xlfn.TEXTSPLIT(INDEX(_xlfn.TEXTSPLIT(C166, "/"), 5), "."), 1)</f>
        <v>acspolymersau</v>
      </c>
      <c r="I166" t="str" cm="1">
        <f t="array" ref="I166">IF(E166="Abstract","a",LOWER(_xlfn.CONCAT(LEFT(INDEX(_xlfn.TEXTSPLIT(E166," "),1),1),INDEX(_xlfn.TEXTSPLIT(E166," "),2))))</f>
        <v>ss1</v>
      </c>
    </row>
    <row r="167" spans="1:9" x14ac:dyDescent="0.2">
      <c r="A167" t="str">
        <f t="shared" si="2"/>
        <v>acspolymersau/1c00030_si_ss2</v>
      </c>
      <c r="B167" t="s">
        <v>2</v>
      </c>
      <c r="C167" s="1" t="s">
        <v>52</v>
      </c>
      <c r="D167" t="s">
        <v>46</v>
      </c>
      <c r="E167" t="s">
        <v>136</v>
      </c>
      <c r="F167" t="s">
        <v>81</v>
      </c>
      <c r="G167">
        <v>1</v>
      </c>
      <c r="H167" t="str" cm="1">
        <f t="array" ref="H167">INDEX(_xlfn.TEXTSPLIT(INDEX(_xlfn.TEXTSPLIT(C167, "/"), 5), "."), 1)</f>
        <v>acspolymersau</v>
      </c>
      <c r="I167" t="str" cm="1">
        <f t="array" ref="I167">IF(E167="Abstract","a",LOWER(_xlfn.CONCAT(LEFT(INDEX(_xlfn.TEXTSPLIT(E167," "),1),1),INDEX(_xlfn.TEXTSPLIT(E167," "),2))))</f>
        <v>ss2</v>
      </c>
    </row>
    <row r="168" spans="1:9" x14ac:dyDescent="0.2">
      <c r="A168" t="str">
        <f t="shared" si="2"/>
        <v>acspolymersau/1c00030_si_ss3</v>
      </c>
      <c r="B168" t="s">
        <v>2</v>
      </c>
      <c r="C168" s="1" t="s">
        <v>52</v>
      </c>
      <c r="D168" t="s">
        <v>46</v>
      </c>
      <c r="E168" t="s">
        <v>137</v>
      </c>
      <c r="F168" t="s">
        <v>81</v>
      </c>
      <c r="G168">
        <v>1</v>
      </c>
      <c r="H168" t="str" cm="1">
        <f t="array" ref="H168">INDEX(_xlfn.TEXTSPLIT(INDEX(_xlfn.TEXTSPLIT(C168, "/"), 5), "."), 1)</f>
        <v>acspolymersau</v>
      </c>
      <c r="I168" t="str" cm="1">
        <f t="array" ref="I168">IF(E168="Abstract","a",LOWER(_xlfn.CONCAT(LEFT(INDEX(_xlfn.TEXTSPLIT(E168," "),1),1),INDEX(_xlfn.TEXTSPLIT(E168," "),2))))</f>
        <v>ss3</v>
      </c>
    </row>
    <row r="169" spans="1:9" x14ac:dyDescent="0.2">
      <c r="A169" t="str">
        <f t="shared" si="2"/>
        <v>acspolymersau/1c00032_f1</v>
      </c>
      <c r="B169" t="s">
        <v>2</v>
      </c>
      <c r="C169" s="1" t="s">
        <v>57</v>
      </c>
      <c r="D169" t="s">
        <v>132</v>
      </c>
      <c r="E169" t="s">
        <v>36</v>
      </c>
      <c r="F169" t="s">
        <v>82</v>
      </c>
      <c r="G169">
        <v>1</v>
      </c>
      <c r="H169" t="str" cm="1">
        <f t="array" ref="H169">INDEX(_xlfn.TEXTSPLIT(INDEX(_xlfn.TEXTSPLIT(C169, "/"), 5), "."), 1)</f>
        <v>acspolymersau</v>
      </c>
      <c r="I169" t="str" cm="1">
        <f t="array" ref="I169">IF(E169="Abstract","a",LOWER(_xlfn.CONCAT(LEFT(INDEX(_xlfn.TEXTSPLIT(E169," "),1),1),INDEX(_xlfn.TEXTSPLIT(E169," "),2))))</f>
        <v>f1</v>
      </c>
    </row>
    <row r="170" spans="1:9" x14ac:dyDescent="0.2">
      <c r="A170" t="str">
        <f t="shared" si="2"/>
        <v>acspolymersau/1c00032_f2</v>
      </c>
      <c r="B170" t="s">
        <v>2</v>
      </c>
      <c r="C170" s="1" t="s">
        <v>57</v>
      </c>
      <c r="D170" t="s">
        <v>132</v>
      </c>
      <c r="E170" t="s">
        <v>37</v>
      </c>
      <c r="F170" t="s">
        <v>82</v>
      </c>
      <c r="G170">
        <v>2</v>
      </c>
      <c r="H170" t="str" cm="1">
        <f t="array" ref="H170">INDEX(_xlfn.TEXTSPLIT(INDEX(_xlfn.TEXTSPLIT(C170, "/"), 5), "."), 1)</f>
        <v>acspolymersau</v>
      </c>
      <c r="I170" t="str" cm="1">
        <f t="array" ref="I170">IF(E170="Abstract","a",LOWER(_xlfn.CONCAT(LEFT(INDEX(_xlfn.TEXTSPLIT(E170," "),1),1),INDEX(_xlfn.TEXTSPLIT(E170," "),2))))</f>
        <v>f2</v>
      </c>
    </row>
    <row r="171" spans="1:9" x14ac:dyDescent="0.2">
      <c r="A171" t="str">
        <f t="shared" si="2"/>
        <v>acspolymersau/1c00032_f5</v>
      </c>
      <c r="B171" t="s">
        <v>2</v>
      </c>
      <c r="C171" s="1" t="s">
        <v>57</v>
      </c>
      <c r="D171" t="s">
        <v>132</v>
      </c>
      <c r="E171" t="s">
        <v>31</v>
      </c>
      <c r="F171" t="s">
        <v>82</v>
      </c>
      <c r="G171">
        <v>2</v>
      </c>
      <c r="H171" t="str" cm="1">
        <f t="array" ref="H171">INDEX(_xlfn.TEXTSPLIT(INDEX(_xlfn.TEXTSPLIT(C171, "/"), 5), "."), 1)</f>
        <v>acspolymersau</v>
      </c>
      <c r="I171" t="str" cm="1">
        <f t="array" ref="I171">IF(E171="Abstract","a",LOWER(_xlfn.CONCAT(LEFT(INDEX(_xlfn.TEXTSPLIT(E171," "),1),1),INDEX(_xlfn.TEXTSPLIT(E171," "),2))))</f>
        <v>f5</v>
      </c>
    </row>
    <row r="172" spans="1:9" x14ac:dyDescent="0.2">
      <c r="A172" t="str">
        <f t="shared" si="2"/>
        <v>acspolymersau/1c00034_f1</v>
      </c>
      <c r="B172" t="s">
        <v>2</v>
      </c>
      <c r="C172" s="1" t="s">
        <v>54</v>
      </c>
      <c r="D172" t="s">
        <v>132</v>
      </c>
      <c r="E172" t="s">
        <v>36</v>
      </c>
      <c r="F172" t="s">
        <v>81</v>
      </c>
      <c r="G172">
        <v>2</v>
      </c>
      <c r="H172" t="str" cm="1">
        <f t="array" ref="H172">INDEX(_xlfn.TEXTSPLIT(INDEX(_xlfn.TEXTSPLIT(C172, "/"), 5), "."), 1)</f>
        <v>acspolymersau</v>
      </c>
      <c r="I172" t="str" cm="1">
        <f t="array" ref="I172">IF(E172="Abstract","a",LOWER(_xlfn.CONCAT(LEFT(INDEX(_xlfn.TEXTSPLIT(E172," "),1),1),INDEX(_xlfn.TEXTSPLIT(E172," "),2))))</f>
        <v>f1</v>
      </c>
    </row>
    <row r="173" spans="1:9" x14ac:dyDescent="0.2">
      <c r="A173" t="str">
        <f t="shared" si="2"/>
        <v>acspolymersau/1c00036_si_ps10</v>
      </c>
      <c r="B173" t="s">
        <v>2</v>
      </c>
      <c r="C173" s="1" t="s">
        <v>61</v>
      </c>
      <c r="D173" t="s">
        <v>46</v>
      </c>
      <c r="E173" t="s">
        <v>142</v>
      </c>
      <c r="F173" t="s">
        <v>81</v>
      </c>
      <c r="G173">
        <v>1</v>
      </c>
      <c r="H173" t="str" cm="1">
        <f t="array" ref="H173">INDEX(_xlfn.TEXTSPLIT(INDEX(_xlfn.TEXTSPLIT(C173, "/"), 5), "."), 1)</f>
        <v>acspolymersau</v>
      </c>
      <c r="I173" t="str" cm="1">
        <f t="array" ref="I173">IF(E173="Abstract","a",LOWER(_xlfn.CONCAT(LEFT(INDEX(_xlfn.TEXTSPLIT(E173," "),1),1),INDEX(_xlfn.TEXTSPLIT(E173," "),2))))</f>
        <v>ps10</v>
      </c>
    </row>
    <row r="174" spans="1:9" x14ac:dyDescent="0.2">
      <c r="A174" t="str">
        <f t="shared" si="2"/>
        <v>acspolymersau/1c00036_si_ps8</v>
      </c>
      <c r="B174" t="s">
        <v>2</v>
      </c>
      <c r="C174" s="1" t="s">
        <v>61</v>
      </c>
      <c r="D174" t="s">
        <v>46</v>
      </c>
      <c r="E174" t="s">
        <v>140</v>
      </c>
      <c r="F174" t="s">
        <v>81</v>
      </c>
      <c r="G174">
        <v>1</v>
      </c>
      <c r="H174" t="str" cm="1">
        <f t="array" ref="H174">INDEX(_xlfn.TEXTSPLIT(INDEX(_xlfn.TEXTSPLIT(C174, "/"), 5), "."), 1)</f>
        <v>acspolymersau</v>
      </c>
      <c r="I174" t="str" cm="1">
        <f t="array" ref="I174">IF(E174="Abstract","a",LOWER(_xlfn.CONCAT(LEFT(INDEX(_xlfn.TEXTSPLIT(E174," "),1),1),INDEX(_xlfn.TEXTSPLIT(E174," "),2))))</f>
        <v>ps8</v>
      </c>
    </row>
    <row r="175" spans="1:9" x14ac:dyDescent="0.2">
      <c r="A175" t="str">
        <f t="shared" si="2"/>
        <v>acspolymersau/1c00036_si_ps9</v>
      </c>
      <c r="B175" t="s">
        <v>2</v>
      </c>
      <c r="C175" s="1" t="s">
        <v>61</v>
      </c>
      <c r="D175" t="s">
        <v>46</v>
      </c>
      <c r="E175" t="s">
        <v>141</v>
      </c>
      <c r="F175" t="s">
        <v>81</v>
      </c>
      <c r="G175">
        <v>2</v>
      </c>
      <c r="H175" t="str" cm="1">
        <f t="array" ref="H175">INDEX(_xlfn.TEXTSPLIT(INDEX(_xlfn.TEXTSPLIT(C175, "/"), 5), "."), 1)</f>
        <v>acspolymersau</v>
      </c>
      <c r="I175" t="str" cm="1">
        <f t="array" ref="I175">IF(E175="Abstract","a",LOWER(_xlfn.CONCAT(LEFT(INDEX(_xlfn.TEXTSPLIT(E175," "),1),1),INDEX(_xlfn.TEXTSPLIT(E175," "),2))))</f>
        <v>ps9</v>
      </c>
    </row>
    <row r="176" spans="1:9" x14ac:dyDescent="0.2">
      <c r="A176" t="str">
        <f t="shared" si="2"/>
        <v>acspolymersau/1c00037_f1</v>
      </c>
      <c r="B176" t="s">
        <v>2</v>
      </c>
      <c r="C176" s="1" t="s">
        <v>56</v>
      </c>
      <c r="D176" t="s">
        <v>132</v>
      </c>
      <c r="E176" t="s">
        <v>36</v>
      </c>
      <c r="F176" t="s">
        <v>81</v>
      </c>
      <c r="G176">
        <v>1</v>
      </c>
      <c r="H176" t="str" cm="1">
        <f t="array" ref="H176">INDEX(_xlfn.TEXTSPLIT(INDEX(_xlfn.TEXTSPLIT(C176, "/"), 5), "."), 1)</f>
        <v>acspolymersau</v>
      </c>
      <c r="I176" t="str" cm="1">
        <f t="array" ref="I176">IF(E176="Abstract","a",LOWER(_xlfn.CONCAT(LEFT(INDEX(_xlfn.TEXTSPLIT(E176," "),1),1),INDEX(_xlfn.TEXTSPLIT(E176," "),2))))</f>
        <v>f1</v>
      </c>
    </row>
    <row r="177" spans="1:9" x14ac:dyDescent="0.2">
      <c r="A177" t="str">
        <f t="shared" si="2"/>
        <v>acspolymersau/1c00041_f1</v>
      </c>
      <c r="B177" t="s">
        <v>2</v>
      </c>
      <c r="C177" s="1" t="s">
        <v>59</v>
      </c>
      <c r="D177" t="s">
        <v>132</v>
      </c>
      <c r="E177" t="s">
        <v>36</v>
      </c>
      <c r="F177" t="s">
        <v>81</v>
      </c>
      <c r="G177">
        <v>3</v>
      </c>
      <c r="H177" t="str" cm="1">
        <f t="array" ref="H177">INDEX(_xlfn.TEXTSPLIT(INDEX(_xlfn.TEXTSPLIT(C177, "/"), 5), "."), 1)</f>
        <v>acspolymersau</v>
      </c>
      <c r="I177" t="str" cm="1">
        <f t="array" ref="I177">IF(E177="Abstract","a",LOWER(_xlfn.CONCAT(LEFT(INDEX(_xlfn.TEXTSPLIT(E177," "),1),1),INDEX(_xlfn.TEXTSPLIT(E177," "),2))))</f>
        <v>f1</v>
      </c>
    </row>
    <row r="178" spans="1:9" x14ac:dyDescent="0.2">
      <c r="A178" t="str">
        <f t="shared" si="2"/>
        <v>acspolymersau/1c00042_s1</v>
      </c>
      <c r="B178" t="s">
        <v>2</v>
      </c>
      <c r="C178" s="1" t="s">
        <v>60</v>
      </c>
      <c r="D178" t="s">
        <v>132</v>
      </c>
      <c r="E178" t="s">
        <v>40</v>
      </c>
      <c r="F178" t="s">
        <v>81</v>
      </c>
      <c r="G178">
        <v>4</v>
      </c>
      <c r="H178" t="str" cm="1">
        <f t="array" ref="H178">INDEX(_xlfn.TEXTSPLIT(INDEX(_xlfn.TEXTSPLIT(C178, "/"), 5), "."), 1)</f>
        <v>acspolymersau</v>
      </c>
      <c r="I178" t="str" cm="1">
        <f t="array" ref="I178">IF(E178="Abstract","a",LOWER(_xlfn.CONCAT(LEFT(INDEX(_xlfn.TEXTSPLIT(E178," "),1),1),INDEX(_xlfn.TEXTSPLIT(E178," "),2))))</f>
        <v>s1</v>
      </c>
    </row>
    <row r="179" spans="1:9" x14ac:dyDescent="0.2">
      <c r="A179" t="str">
        <f t="shared" si="2"/>
        <v>acspolymersau/1c00044_a</v>
      </c>
      <c r="B179" t="s">
        <v>2</v>
      </c>
      <c r="C179" s="1" t="s">
        <v>64</v>
      </c>
      <c r="D179" t="s">
        <v>132</v>
      </c>
      <c r="E179" t="s">
        <v>49</v>
      </c>
      <c r="F179" t="s">
        <v>81</v>
      </c>
      <c r="G179">
        <v>1</v>
      </c>
      <c r="H179" t="str" cm="1">
        <f t="array" ref="H179">INDEX(_xlfn.TEXTSPLIT(INDEX(_xlfn.TEXTSPLIT(C179, "/"), 5), "."), 1)</f>
        <v>acspolymersau</v>
      </c>
      <c r="I179" t="str" cm="1">
        <f t="array" ref="I179">IF(E179="Abstract","a",LOWER(_xlfn.CONCAT(LEFT(INDEX(_xlfn.TEXTSPLIT(E179," "),1),1),INDEX(_xlfn.TEXTSPLIT(E179," "),2))))</f>
        <v>a</v>
      </c>
    </row>
    <row r="180" spans="1:9" x14ac:dyDescent="0.2">
      <c r="A180" t="str">
        <f t="shared" si="2"/>
        <v>acspolymersau/1c00044_f2</v>
      </c>
      <c r="B180" t="s">
        <v>2</v>
      </c>
      <c r="C180" s="1" t="s">
        <v>64</v>
      </c>
      <c r="D180" t="s">
        <v>132</v>
      </c>
      <c r="E180" t="s">
        <v>37</v>
      </c>
      <c r="F180" t="s">
        <v>81</v>
      </c>
      <c r="G180">
        <v>3</v>
      </c>
      <c r="H180" t="str" cm="1">
        <f t="array" ref="H180">INDEX(_xlfn.TEXTSPLIT(INDEX(_xlfn.TEXTSPLIT(C180, "/"), 5), "."), 1)</f>
        <v>acspolymersau</v>
      </c>
      <c r="I180" t="str" cm="1">
        <f t="array" ref="I180">IF(E180="Abstract","a",LOWER(_xlfn.CONCAT(LEFT(INDEX(_xlfn.TEXTSPLIT(E180," "),1),1),INDEX(_xlfn.TEXTSPLIT(E180," "),2))))</f>
        <v>f2</v>
      </c>
    </row>
    <row r="181" spans="1:9" x14ac:dyDescent="0.2">
      <c r="A181" t="str">
        <f t="shared" si="2"/>
        <v>acspolymersau/1c00044_s1</v>
      </c>
      <c r="B181" t="s">
        <v>2</v>
      </c>
      <c r="C181" s="1" t="s">
        <v>64</v>
      </c>
      <c r="D181" t="s">
        <v>132</v>
      </c>
      <c r="E181" t="s">
        <v>40</v>
      </c>
      <c r="F181" t="s">
        <v>81</v>
      </c>
      <c r="G181">
        <v>6</v>
      </c>
      <c r="H181" t="str" cm="1">
        <f t="array" ref="H181">INDEX(_xlfn.TEXTSPLIT(INDEX(_xlfn.TEXTSPLIT(C181, "/"), 5), "."), 1)</f>
        <v>acspolymersau</v>
      </c>
      <c r="I181" t="str" cm="1">
        <f t="array" ref="I181">IF(E181="Abstract","a",LOWER(_xlfn.CONCAT(LEFT(INDEX(_xlfn.TEXTSPLIT(E181," "),1),1),INDEX(_xlfn.TEXTSPLIT(E181," "),2))))</f>
        <v>s1</v>
      </c>
    </row>
    <row r="182" spans="1:9" x14ac:dyDescent="0.2">
      <c r="A182" t="str">
        <f t="shared" si="2"/>
        <v>acspolymersau/1c00044_s3</v>
      </c>
      <c r="B182" t="s">
        <v>2</v>
      </c>
      <c r="C182" s="1" t="s">
        <v>64</v>
      </c>
      <c r="D182" t="s">
        <v>132</v>
      </c>
      <c r="E182" t="s">
        <v>43</v>
      </c>
      <c r="F182" t="s">
        <v>81</v>
      </c>
      <c r="G182">
        <v>1</v>
      </c>
      <c r="H182" t="str" cm="1">
        <f t="array" ref="H182">INDEX(_xlfn.TEXTSPLIT(INDEX(_xlfn.TEXTSPLIT(C182, "/"), 5), "."), 1)</f>
        <v>acspolymersau</v>
      </c>
      <c r="I182" t="str" cm="1">
        <f t="array" ref="I182">IF(E182="Abstract","a",LOWER(_xlfn.CONCAT(LEFT(INDEX(_xlfn.TEXTSPLIT(E182," "),1),1),INDEX(_xlfn.TEXTSPLIT(E182," "),2))))</f>
        <v>s3</v>
      </c>
    </row>
    <row r="183" spans="1:9" x14ac:dyDescent="0.2">
      <c r="A183" t="str">
        <f t="shared" si="2"/>
        <v>acspolymersau/1c00049_f1</v>
      </c>
      <c r="B183" t="s">
        <v>2</v>
      </c>
      <c r="C183" s="1" t="s">
        <v>62</v>
      </c>
      <c r="D183" t="s">
        <v>132</v>
      </c>
      <c r="E183" t="s">
        <v>36</v>
      </c>
      <c r="F183" t="s">
        <v>81</v>
      </c>
      <c r="G183">
        <v>2</v>
      </c>
      <c r="H183" t="str" cm="1">
        <f t="array" ref="H183">INDEX(_xlfn.TEXTSPLIT(INDEX(_xlfn.TEXTSPLIT(C183, "/"), 5), "."), 1)</f>
        <v>acspolymersau</v>
      </c>
      <c r="I183" t="str" cm="1">
        <f t="array" ref="I183">IF(E183="Abstract","a",LOWER(_xlfn.CONCAT(LEFT(INDEX(_xlfn.TEXTSPLIT(E183," "),1),1),INDEX(_xlfn.TEXTSPLIT(E183," "),2))))</f>
        <v>f1</v>
      </c>
    </row>
    <row r="184" spans="1:9" x14ac:dyDescent="0.2">
      <c r="A184" t="str">
        <f t="shared" si="2"/>
        <v>acspolymersau/1c00052_s1</v>
      </c>
      <c r="B184" t="s">
        <v>2</v>
      </c>
      <c r="C184" s="1" t="s">
        <v>63</v>
      </c>
      <c r="D184" t="s">
        <v>132</v>
      </c>
      <c r="E184" t="s">
        <v>40</v>
      </c>
      <c r="F184" t="s">
        <v>81</v>
      </c>
      <c r="G184">
        <v>1</v>
      </c>
      <c r="H184" t="str" cm="1">
        <f t="array" ref="H184">INDEX(_xlfn.TEXTSPLIT(INDEX(_xlfn.TEXTSPLIT(C184, "/"), 5), "."), 1)</f>
        <v>acspolymersau</v>
      </c>
      <c r="I184" t="str" cm="1">
        <f t="array" ref="I184">IF(E184="Abstract","a",LOWER(_xlfn.CONCAT(LEFT(INDEX(_xlfn.TEXTSPLIT(E184," "),1),1),INDEX(_xlfn.TEXTSPLIT(E184," "),2))))</f>
        <v>s1</v>
      </c>
    </row>
    <row r="185" spans="1:9" x14ac:dyDescent="0.2">
      <c r="A185" t="str">
        <f t="shared" si="2"/>
        <v>acspolymersau/1c00053_s1</v>
      </c>
      <c r="B185" t="s">
        <v>2</v>
      </c>
      <c r="C185" s="1" t="s">
        <v>65</v>
      </c>
      <c r="D185" t="s">
        <v>132</v>
      </c>
      <c r="E185" t="s">
        <v>40</v>
      </c>
      <c r="F185" t="s">
        <v>82</v>
      </c>
      <c r="G185">
        <v>1</v>
      </c>
      <c r="H185" t="str" cm="1">
        <f t="array" ref="H185">INDEX(_xlfn.TEXTSPLIT(INDEX(_xlfn.TEXTSPLIT(C185, "/"), 5), "."), 1)</f>
        <v>acspolymersau</v>
      </c>
      <c r="I185" t="str" cm="1">
        <f t="array" ref="I185">IF(E185="Abstract","a",LOWER(_xlfn.CONCAT(LEFT(INDEX(_xlfn.TEXTSPLIT(E185," "),1),1),INDEX(_xlfn.TEXTSPLIT(E185," "),2))))</f>
        <v>s1</v>
      </c>
    </row>
    <row r="186" spans="1:9" x14ac:dyDescent="0.2">
      <c r="A186" t="str">
        <f t="shared" si="2"/>
        <v>acspolymersau/1c00053_s2</v>
      </c>
      <c r="B186" t="s">
        <v>2</v>
      </c>
      <c r="C186" s="1" t="s">
        <v>65</v>
      </c>
      <c r="D186" t="s">
        <v>132</v>
      </c>
      <c r="E186" t="s">
        <v>41</v>
      </c>
      <c r="F186" t="s">
        <v>82</v>
      </c>
      <c r="G186">
        <v>2</v>
      </c>
      <c r="H186" t="str" cm="1">
        <f t="array" ref="H186">INDEX(_xlfn.TEXTSPLIT(INDEX(_xlfn.TEXTSPLIT(C186, "/"), 5), "."), 1)</f>
        <v>acspolymersau</v>
      </c>
      <c r="I186" t="str" cm="1">
        <f t="array" ref="I186">IF(E186="Abstract","a",LOWER(_xlfn.CONCAT(LEFT(INDEX(_xlfn.TEXTSPLIT(E186," "),1),1),INDEX(_xlfn.TEXTSPLIT(E186," "),2))))</f>
        <v>s2</v>
      </c>
    </row>
    <row r="187" spans="1:9" x14ac:dyDescent="0.2">
      <c r="A187" t="str">
        <f t="shared" si="2"/>
        <v>acspolymersau/1c00053_s3</v>
      </c>
      <c r="B187" t="s">
        <v>2</v>
      </c>
      <c r="C187" s="1" t="s">
        <v>65</v>
      </c>
      <c r="D187" t="s">
        <v>132</v>
      </c>
      <c r="E187" t="s">
        <v>43</v>
      </c>
      <c r="F187" t="s">
        <v>82</v>
      </c>
      <c r="G187">
        <v>1</v>
      </c>
      <c r="H187" t="str" cm="1">
        <f t="array" ref="H187">INDEX(_xlfn.TEXTSPLIT(INDEX(_xlfn.TEXTSPLIT(C187, "/"), 5), "."), 1)</f>
        <v>acspolymersau</v>
      </c>
      <c r="I187" t="str" cm="1">
        <f t="array" ref="I187">IF(E187="Abstract","a",LOWER(_xlfn.CONCAT(LEFT(INDEX(_xlfn.TEXTSPLIT(E187," "),1),1),INDEX(_xlfn.TEXTSPLIT(E187," "),2))))</f>
        <v>s3</v>
      </c>
    </row>
    <row r="188" spans="1:9" x14ac:dyDescent="0.2">
      <c r="A188" t="str">
        <f t="shared" si="2"/>
        <v>acspolymersau/1c00053_s4</v>
      </c>
      <c r="B188" t="s">
        <v>2</v>
      </c>
      <c r="C188" s="1" t="s">
        <v>65</v>
      </c>
      <c r="D188" t="s">
        <v>132</v>
      </c>
      <c r="E188" t="s">
        <v>44</v>
      </c>
      <c r="F188" t="s">
        <v>82</v>
      </c>
      <c r="G188">
        <v>3</v>
      </c>
      <c r="H188" t="str" cm="1">
        <f t="array" ref="H188">INDEX(_xlfn.TEXTSPLIT(INDEX(_xlfn.TEXTSPLIT(C188, "/"), 5), "."), 1)</f>
        <v>acspolymersau</v>
      </c>
      <c r="I188" t="str" cm="1">
        <f t="array" ref="I188">IF(E188="Abstract","a",LOWER(_xlfn.CONCAT(LEFT(INDEX(_xlfn.TEXTSPLIT(E188," "),1),1),INDEX(_xlfn.TEXTSPLIT(E188," "),2))))</f>
        <v>s4</v>
      </c>
    </row>
    <row r="189" spans="1:9" x14ac:dyDescent="0.2">
      <c r="A189" t="str">
        <f t="shared" si="2"/>
        <v>acspolymersau/1c00053_s5</v>
      </c>
      <c r="B189" t="s">
        <v>2</v>
      </c>
      <c r="C189" s="1" t="s">
        <v>65</v>
      </c>
      <c r="D189" t="s">
        <v>132</v>
      </c>
      <c r="E189" t="s">
        <v>45</v>
      </c>
      <c r="F189" t="s">
        <v>82</v>
      </c>
      <c r="G189">
        <v>2</v>
      </c>
      <c r="H189" t="str" cm="1">
        <f t="array" ref="H189">INDEX(_xlfn.TEXTSPLIT(INDEX(_xlfn.TEXTSPLIT(C189, "/"), 5), "."), 1)</f>
        <v>acspolymersau</v>
      </c>
      <c r="I189" t="str" cm="1">
        <f t="array" ref="I189">IF(E189="Abstract","a",LOWER(_xlfn.CONCAT(LEFT(INDEX(_xlfn.TEXTSPLIT(E189," "),1),1),INDEX(_xlfn.TEXTSPLIT(E189," "),2))))</f>
        <v>s5</v>
      </c>
    </row>
    <row r="190" spans="1:9" x14ac:dyDescent="0.2">
      <c r="A190" t="str">
        <f t="shared" si="2"/>
        <v>acspolymersau/1c00054_s1</v>
      </c>
      <c r="B190" t="s">
        <v>2</v>
      </c>
      <c r="C190" s="1" t="s">
        <v>66</v>
      </c>
      <c r="D190" t="s">
        <v>132</v>
      </c>
      <c r="E190" t="s">
        <v>40</v>
      </c>
      <c r="F190" t="s">
        <v>81</v>
      </c>
      <c r="G190">
        <v>2</v>
      </c>
      <c r="H190" t="str" cm="1">
        <f t="array" ref="H190">INDEX(_xlfn.TEXTSPLIT(INDEX(_xlfn.TEXTSPLIT(C190, "/"), 5), "."), 1)</f>
        <v>acspolymersau</v>
      </c>
      <c r="I190" t="str" cm="1">
        <f t="array" ref="I190">IF(E190="Abstract","a",LOWER(_xlfn.CONCAT(LEFT(INDEX(_xlfn.TEXTSPLIT(E190," "),1),1),INDEX(_xlfn.TEXTSPLIT(E190," "),2))))</f>
        <v>s1</v>
      </c>
    </row>
    <row r="191" spans="1:9" x14ac:dyDescent="0.2">
      <c r="A191" t="str">
        <f t="shared" si="2"/>
        <v>acspolymersau/1c00054_si_ss1</v>
      </c>
      <c r="B191" t="s">
        <v>2</v>
      </c>
      <c r="C191" s="1" t="s">
        <v>66</v>
      </c>
      <c r="D191" t="s">
        <v>46</v>
      </c>
      <c r="E191" t="s">
        <v>135</v>
      </c>
      <c r="F191" t="s">
        <v>81</v>
      </c>
      <c r="G191">
        <v>5</v>
      </c>
      <c r="H191" t="str" cm="1">
        <f t="array" ref="H191">INDEX(_xlfn.TEXTSPLIT(INDEX(_xlfn.TEXTSPLIT(C191, "/"), 5), "."), 1)</f>
        <v>acspolymersau</v>
      </c>
      <c r="I191" t="str" cm="1">
        <f t="array" ref="I191">IF(E191="Abstract","a",LOWER(_xlfn.CONCAT(LEFT(INDEX(_xlfn.TEXTSPLIT(E191," "),1),1),INDEX(_xlfn.TEXTSPLIT(E191," "),2))))</f>
        <v>ss1</v>
      </c>
    </row>
    <row r="192" spans="1:9" x14ac:dyDescent="0.2">
      <c r="A192" t="str">
        <f t="shared" si="2"/>
        <v>acspolymersau/1c00057_f1</v>
      </c>
      <c r="B192" t="s">
        <v>2</v>
      </c>
      <c r="C192" s="1" t="s">
        <v>67</v>
      </c>
      <c r="D192" t="s">
        <v>132</v>
      </c>
      <c r="E192" t="s">
        <v>36</v>
      </c>
      <c r="F192" t="s">
        <v>81</v>
      </c>
      <c r="G192">
        <v>3</v>
      </c>
      <c r="H192" t="str" cm="1">
        <f t="array" ref="H192">INDEX(_xlfn.TEXTSPLIT(INDEX(_xlfn.TEXTSPLIT(C192, "/"), 5), "."), 1)</f>
        <v>acspolymersau</v>
      </c>
      <c r="I192" t="str" cm="1">
        <f t="array" ref="I192">IF(E192="Abstract","a",LOWER(_xlfn.CONCAT(LEFT(INDEX(_xlfn.TEXTSPLIT(E192," "),1),1),INDEX(_xlfn.TEXTSPLIT(E192," "),2))))</f>
        <v>f1</v>
      </c>
    </row>
    <row r="193" spans="1:9" x14ac:dyDescent="0.2">
      <c r="A193" t="str">
        <f t="shared" si="2"/>
        <v>acspolymersau/2c00001_f2</v>
      </c>
      <c r="B193" t="s">
        <v>2</v>
      </c>
      <c r="C193" s="1" t="s">
        <v>70</v>
      </c>
      <c r="D193" t="s">
        <v>132</v>
      </c>
      <c r="E193" t="s">
        <v>37</v>
      </c>
      <c r="F193" t="s">
        <v>81</v>
      </c>
      <c r="G193">
        <v>1</v>
      </c>
      <c r="H193" t="str" cm="1">
        <f t="array" ref="H193">INDEX(_xlfn.TEXTSPLIT(INDEX(_xlfn.TEXTSPLIT(C193, "/"), 5), "."), 1)</f>
        <v>acspolymersau</v>
      </c>
      <c r="I193" t="str" cm="1">
        <f t="array" ref="I193">IF(E193="Abstract","a",LOWER(_xlfn.CONCAT(LEFT(INDEX(_xlfn.TEXTSPLIT(E193," "),1),1),INDEX(_xlfn.TEXTSPLIT(E193," "),2))))</f>
        <v>f2</v>
      </c>
    </row>
    <row r="194" spans="1:9" x14ac:dyDescent="0.2">
      <c r="A194" t="str">
        <f t="shared" ref="A194:A257" si="3">_xlfn.CONCAT(H194, "/",RIGHT(C194,7),"_",IF(D194="SI","si_",""), I194)</f>
        <v>acspolymersau/2c00001_f3</v>
      </c>
      <c r="B194" t="s">
        <v>2</v>
      </c>
      <c r="C194" s="1" t="s">
        <v>70</v>
      </c>
      <c r="D194" t="s">
        <v>132</v>
      </c>
      <c r="E194" t="s">
        <v>69</v>
      </c>
      <c r="F194" t="s">
        <v>81</v>
      </c>
      <c r="G194">
        <v>1</v>
      </c>
      <c r="H194" t="str" cm="1">
        <f t="array" ref="H194">INDEX(_xlfn.TEXTSPLIT(INDEX(_xlfn.TEXTSPLIT(C194, "/"), 5), "."), 1)</f>
        <v>acspolymersau</v>
      </c>
      <c r="I194" t="str" cm="1">
        <f t="array" ref="I194">IF(E194="Abstract","a",LOWER(_xlfn.CONCAT(LEFT(INDEX(_xlfn.TEXTSPLIT(E194," "),1),1),INDEX(_xlfn.TEXTSPLIT(E194," "),2))))</f>
        <v>f3</v>
      </c>
    </row>
    <row r="195" spans="1:9" x14ac:dyDescent="0.2">
      <c r="A195" t="str">
        <f t="shared" si="3"/>
        <v>acspolymersau/2c00001_s1</v>
      </c>
      <c r="B195" t="s">
        <v>2</v>
      </c>
      <c r="C195" s="1" t="s">
        <v>70</v>
      </c>
      <c r="D195" t="s">
        <v>132</v>
      </c>
      <c r="E195" t="s">
        <v>40</v>
      </c>
      <c r="F195" t="s">
        <v>81</v>
      </c>
      <c r="G195">
        <v>1</v>
      </c>
      <c r="H195" t="str" cm="1">
        <f t="array" ref="H195">INDEX(_xlfn.TEXTSPLIT(INDEX(_xlfn.TEXTSPLIT(C195, "/"), 5), "."), 1)</f>
        <v>acspolymersau</v>
      </c>
      <c r="I195" t="str" cm="1">
        <f t="array" ref="I195">IF(E195="Abstract","a",LOWER(_xlfn.CONCAT(LEFT(INDEX(_xlfn.TEXTSPLIT(E195," "),1),1),INDEX(_xlfn.TEXTSPLIT(E195," "),2))))</f>
        <v>s1</v>
      </c>
    </row>
    <row r="196" spans="1:9" x14ac:dyDescent="0.2">
      <c r="A196" t="str">
        <f t="shared" si="3"/>
        <v>acspolymersau/2c00001_s2</v>
      </c>
      <c r="B196" t="s">
        <v>2</v>
      </c>
      <c r="C196" s="1" t="s">
        <v>70</v>
      </c>
      <c r="D196" t="s">
        <v>132</v>
      </c>
      <c r="E196" t="s">
        <v>41</v>
      </c>
      <c r="F196" t="s">
        <v>81</v>
      </c>
      <c r="G196">
        <v>4</v>
      </c>
      <c r="H196" t="str" cm="1">
        <f t="array" ref="H196">INDEX(_xlfn.TEXTSPLIT(INDEX(_xlfn.TEXTSPLIT(C196, "/"), 5), "."), 1)</f>
        <v>acspolymersau</v>
      </c>
      <c r="I196" t="str" cm="1">
        <f t="array" ref="I196">IF(E196="Abstract","a",LOWER(_xlfn.CONCAT(LEFT(INDEX(_xlfn.TEXTSPLIT(E196," "),1),1),INDEX(_xlfn.TEXTSPLIT(E196," "),2))))</f>
        <v>s2</v>
      </c>
    </row>
    <row r="197" spans="1:9" x14ac:dyDescent="0.2">
      <c r="A197" t="str">
        <f t="shared" si="3"/>
        <v>acspolymersau/2c00004_s1</v>
      </c>
      <c r="B197" t="s">
        <v>2</v>
      </c>
      <c r="C197" s="1" t="s">
        <v>68</v>
      </c>
      <c r="D197" t="s">
        <v>132</v>
      </c>
      <c r="E197" t="s">
        <v>40</v>
      </c>
      <c r="F197" t="s">
        <v>81</v>
      </c>
      <c r="G197">
        <v>3</v>
      </c>
      <c r="H197" t="str" cm="1">
        <f t="array" ref="H197">INDEX(_xlfn.TEXTSPLIT(INDEX(_xlfn.TEXTSPLIT(C197, "/"), 5), "."), 1)</f>
        <v>acspolymersau</v>
      </c>
      <c r="I197" t="str" cm="1">
        <f t="array" ref="I197">IF(E197="Abstract","a",LOWER(_xlfn.CONCAT(LEFT(INDEX(_xlfn.TEXTSPLIT(E197," "),1),1),INDEX(_xlfn.TEXTSPLIT(E197," "),2))))</f>
        <v>s1</v>
      </c>
    </row>
    <row r="198" spans="1:9" x14ac:dyDescent="0.2">
      <c r="A198" t="str">
        <f t="shared" si="3"/>
        <v>acspolymersau/2c00005_f1</v>
      </c>
      <c r="B198" t="s">
        <v>2</v>
      </c>
      <c r="C198" s="1" t="s">
        <v>71</v>
      </c>
      <c r="D198" t="s">
        <v>132</v>
      </c>
      <c r="E198" t="s">
        <v>36</v>
      </c>
      <c r="F198" t="s">
        <v>81</v>
      </c>
      <c r="G198">
        <v>1</v>
      </c>
      <c r="H198" t="str" cm="1">
        <f t="array" ref="H198">INDEX(_xlfn.TEXTSPLIT(INDEX(_xlfn.TEXTSPLIT(C198, "/"), 5), "."), 1)</f>
        <v>acspolymersau</v>
      </c>
      <c r="I198" t="str" cm="1">
        <f t="array" ref="I198">IF(E198="Abstract","a",LOWER(_xlfn.CONCAT(LEFT(INDEX(_xlfn.TEXTSPLIT(E198," "),1),1),INDEX(_xlfn.TEXTSPLIT(E198," "),2))))</f>
        <v>f1</v>
      </c>
    </row>
    <row r="199" spans="1:9" x14ac:dyDescent="0.2">
      <c r="A199" t="str">
        <f t="shared" si="3"/>
        <v>acspolymersau/2c00005_si_fs10a</v>
      </c>
      <c r="B199" t="s">
        <v>2</v>
      </c>
      <c r="C199" s="1" t="s">
        <v>71</v>
      </c>
      <c r="D199" t="s">
        <v>46</v>
      </c>
      <c r="E199" t="s">
        <v>183</v>
      </c>
      <c r="F199" t="s">
        <v>81</v>
      </c>
      <c r="G199">
        <v>1</v>
      </c>
      <c r="H199" t="str" cm="1">
        <f t="array" ref="H199">INDEX(_xlfn.TEXTSPLIT(INDEX(_xlfn.TEXTSPLIT(C199, "/"), 5), "."), 1)</f>
        <v>acspolymersau</v>
      </c>
      <c r="I199" t="str" cm="1">
        <f t="array" ref="I199">IF(E199="Abstract","a",LOWER(_xlfn.CONCAT(LEFT(INDEX(_xlfn.TEXTSPLIT(E199," "),1),1),INDEX(_xlfn.TEXTSPLIT(E199," "),2))))</f>
        <v>fs10a</v>
      </c>
    </row>
    <row r="200" spans="1:9" x14ac:dyDescent="0.2">
      <c r="A200" t="str">
        <f t="shared" si="3"/>
        <v>acspolymersau/2c00005_si_fs10b</v>
      </c>
      <c r="B200" t="s">
        <v>2</v>
      </c>
      <c r="C200" s="1" t="s">
        <v>71</v>
      </c>
      <c r="D200" t="s">
        <v>46</v>
      </c>
      <c r="E200" t="s">
        <v>184</v>
      </c>
      <c r="F200" t="s">
        <v>81</v>
      </c>
      <c r="G200">
        <v>1</v>
      </c>
      <c r="H200" t="str" cm="1">
        <f t="array" ref="H200">INDEX(_xlfn.TEXTSPLIT(INDEX(_xlfn.TEXTSPLIT(C200, "/"), 5), "."), 1)</f>
        <v>acspolymersau</v>
      </c>
      <c r="I200" t="str" cm="1">
        <f t="array" ref="I200">IF(E200="Abstract","a",LOWER(_xlfn.CONCAT(LEFT(INDEX(_xlfn.TEXTSPLIT(E200," "),1),1),INDEX(_xlfn.TEXTSPLIT(E200," "),2))))</f>
        <v>fs10b</v>
      </c>
    </row>
    <row r="201" spans="1:9" x14ac:dyDescent="0.2">
      <c r="A201" t="str">
        <f t="shared" si="3"/>
        <v>acspolymersau/2c00005_si_fs10c</v>
      </c>
      <c r="B201" t="s">
        <v>2</v>
      </c>
      <c r="C201" s="1" t="s">
        <v>71</v>
      </c>
      <c r="D201" t="s">
        <v>46</v>
      </c>
      <c r="E201" t="s">
        <v>185</v>
      </c>
      <c r="F201" t="s">
        <v>81</v>
      </c>
      <c r="G201">
        <v>1</v>
      </c>
      <c r="H201" t="str" cm="1">
        <f t="array" ref="H201">INDEX(_xlfn.TEXTSPLIT(INDEX(_xlfn.TEXTSPLIT(C201, "/"), 5), "."), 1)</f>
        <v>acspolymersau</v>
      </c>
      <c r="I201" t="str" cm="1">
        <f t="array" ref="I201">IF(E201="Abstract","a",LOWER(_xlfn.CONCAT(LEFT(INDEX(_xlfn.TEXTSPLIT(E201," "),1),1),INDEX(_xlfn.TEXTSPLIT(E201," "),2))))</f>
        <v>fs10c</v>
      </c>
    </row>
    <row r="202" spans="1:9" x14ac:dyDescent="0.2">
      <c r="A202" t="str">
        <f t="shared" si="3"/>
        <v>acspolymersau/2c00005_si_fs10d</v>
      </c>
      <c r="B202" t="s">
        <v>2</v>
      </c>
      <c r="C202" s="1" t="s">
        <v>71</v>
      </c>
      <c r="D202" t="s">
        <v>46</v>
      </c>
      <c r="E202" t="s">
        <v>186</v>
      </c>
      <c r="F202" t="s">
        <v>81</v>
      </c>
      <c r="G202">
        <v>1</v>
      </c>
      <c r="H202" t="str" cm="1">
        <f t="array" ref="H202">INDEX(_xlfn.TEXTSPLIT(INDEX(_xlfn.TEXTSPLIT(C202, "/"), 5), "."), 1)</f>
        <v>acspolymersau</v>
      </c>
      <c r="I202" t="str" cm="1">
        <f t="array" ref="I202">IF(E202="Abstract","a",LOWER(_xlfn.CONCAT(LEFT(INDEX(_xlfn.TEXTSPLIT(E202," "),1),1),INDEX(_xlfn.TEXTSPLIT(E202," "),2))))</f>
        <v>fs10d</v>
      </c>
    </row>
    <row r="203" spans="1:9" x14ac:dyDescent="0.2">
      <c r="A203" t="str">
        <f t="shared" si="3"/>
        <v>acspolymersau/2c00013_s1</v>
      </c>
      <c r="B203" t="s">
        <v>2</v>
      </c>
      <c r="C203" s="1" t="s">
        <v>74</v>
      </c>
      <c r="D203" t="s">
        <v>132</v>
      </c>
      <c r="E203" t="s">
        <v>40</v>
      </c>
      <c r="F203" t="s">
        <v>81</v>
      </c>
      <c r="G203">
        <v>1</v>
      </c>
      <c r="H203" t="str" cm="1">
        <f t="array" ref="H203">INDEX(_xlfn.TEXTSPLIT(INDEX(_xlfn.TEXTSPLIT(C203, "/"), 5), "."), 1)</f>
        <v>acspolymersau</v>
      </c>
      <c r="I203" t="str" cm="1">
        <f t="array" ref="I203">IF(E203="Abstract","a",LOWER(_xlfn.CONCAT(LEFT(INDEX(_xlfn.TEXTSPLIT(E203," "),1),1),INDEX(_xlfn.TEXTSPLIT(E203," "),2))))</f>
        <v>s1</v>
      </c>
    </row>
    <row r="204" spans="1:9" x14ac:dyDescent="0.2">
      <c r="A204" t="str">
        <f t="shared" si="3"/>
        <v>acspolymersau/2c00013_s2</v>
      </c>
      <c r="B204" t="s">
        <v>2</v>
      </c>
      <c r="C204" s="1" t="s">
        <v>74</v>
      </c>
      <c r="D204" t="s">
        <v>132</v>
      </c>
      <c r="E204" t="s">
        <v>41</v>
      </c>
      <c r="F204" t="s">
        <v>81</v>
      </c>
      <c r="G204">
        <v>3</v>
      </c>
      <c r="H204" t="str" cm="1">
        <f t="array" ref="H204">INDEX(_xlfn.TEXTSPLIT(INDEX(_xlfn.TEXTSPLIT(C204, "/"), 5), "."), 1)</f>
        <v>acspolymersau</v>
      </c>
      <c r="I204" t="str" cm="1">
        <f t="array" ref="I204">IF(E204="Abstract","a",LOWER(_xlfn.CONCAT(LEFT(INDEX(_xlfn.TEXTSPLIT(E204," "),1),1),INDEX(_xlfn.TEXTSPLIT(E204," "),2))))</f>
        <v>s2</v>
      </c>
    </row>
    <row r="205" spans="1:9" x14ac:dyDescent="0.2">
      <c r="A205" t="str">
        <f t="shared" si="3"/>
        <v>acspolymersau/2c00013_s3</v>
      </c>
      <c r="B205" t="s">
        <v>2</v>
      </c>
      <c r="C205" s="1" t="s">
        <v>74</v>
      </c>
      <c r="D205" t="s">
        <v>132</v>
      </c>
      <c r="E205" t="s">
        <v>43</v>
      </c>
      <c r="F205" t="s">
        <v>81</v>
      </c>
      <c r="G205">
        <v>2</v>
      </c>
      <c r="H205" t="str" cm="1">
        <f t="array" ref="H205">INDEX(_xlfn.TEXTSPLIT(INDEX(_xlfn.TEXTSPLIT(C205, "/"), 5), "."), 1)</f>
        <v>acspolymersau</v>
      </c>
      <c r="I205" t="str" cm="1">
        <f t="array" ref="I205">IF(E205="Abstract","a",LOWER(_xlfn.CONCAT(LEFT(INDEX(_xlfn.TEXTSPLIT(E205," "),1),1),INDEX(_xlfn.TEXTSPLIT(E205," "),2))))</f>
        <v>s3</v>
      </c>
    </row>
    <row r="206" spans="1:9" x14ac:dyDescent="0.2">
      <c r="A206" t="str">
        <f t="shared" si="3"/>
        <v>acspolymersau/2c00013_si_fs13</v>
      </c>
      <c r="B206" t="s">
        <v>2</v>
      </c>
      <c r="C206" s="1" t="s">
        <v>74</v>
      </c>
      <c r="D206" t="s">
        <v>46</v>
      </c>
      <c r="E206" t="s">
        <v>144</v>
      </c>
      <c r="F206" t="s">
        <v>81</v>
      </c>
      <c r="G206">
        <v>1</v>
      </c>
      <c r="H206" t="str" cm="1">
        <f t="array" ref="H206">INDEX(_xlfn.TEXTSPLIT(INDEX(_xlfn.TEXTSPLIT(C206, "/"), 5), "."), 1)</f>
        <v>acspolymersau</v>
      </c>
      <c r="I206" t="str" cm="1">
        <f t="array" ref="I206">IF(E206="Abstract","a",LOWER(_xlfn.CONCAT(LEFT(INDEX(_xlfn.TEXTSPLIT(E206," "),1),1),INDEX(_xlfn.TEXTSPLIT(E206," "),2))))</f>
        <v>fs13</v>
      </c>
    </row>
    <row r="207" spans="1:9" x14ac:dyDescent="0.2">
      <c r="A207" t="str">
        <f t="shared" si="3"/>
        <v>acspolymersau/2c00013_si_fs14</v>
      </c>
      <c r="B207" t="s">
        <v>2</v>
      </c>
      <c r="C207" s="1" t="s">
        <v>74</v>
      </c>
      <c r="D207" t="s">
        <v>46</v>
      </c>
      <c r="E207" t="s">
        <v>145</v>
      </c>
      <c r="F207" t="s">
        <v>81</v>
      </c>
      <c r="G207">
        <v>1</v>
      </c>
      <c r="H207" t="str" cm="1">
        <f t="array" ref="H207">INDEX(_xlfn.TEXTSPLIT(INDEX(_xlfn.TEXTSPLIT(C207, "/"), 5), "."), 1)</f>
        <v>acspolymersau</v>
      </c>
      <c r="I207" t="str" cm="1">
        <f t="array" ref="I207">IF(E207="Abstract","a",LOWER(_xlfn.CONCAT(LEFT(INDEX(_xlfn.TEXTSPLIT(E207," "),1),1),INDEX(_xlfn.TEXTSPLIT(E207," "),2))))</f>
        <v>fs14</v>
      </c>
    </row>
    <row r="208" spans="1:9" x14ac:dyDescent="0.2">
      <c r="A208" t="str">
        <f t="shared" si="3"/>
        <v>acspolymersau/2c00013_si_fs15</v>
      </c>
      <c r="B208" t="s">
        <v>2</v>
      </c>
      <c r="C208" s="1" t="s">
        <v>74</v>
      </c>
      <c r="D208" t="s">
        <v>46</v>
      </c>
      <c r="E208" t="s">
        <v>146</v>
      </c>
      <c r="F208" t="s">
        <v>81</v>
      </c>
      <c r="G208">
        <v>1</v>
      </c>
      <c r="H208" t="str" cm="1">
        <f t="array" ref="H208">INDEX(_xlfn.TEXTSPLIT(INDEX(_xlfn.TEXTSPLIT(C208, "/"), 5), "."), 1)</f>
        <v>acspolymersau</v>
      </c>
      <c r="I208" t="str" cm="1">
        <f t="array" ref="I208">IF(E208="Abstract","a",LOWER(_xlfn.CONCAT(LEFT(INDEX(_xlfn.TEXTSPLIT(E208," "),1),1),INDEX(_xlfn.TEXTSPLIT(E208," "),2))))</f>
        <v>fs15</v>
      </c>
    </row>
    <row r="209" spans="1:9" x14ac:dyDescent="0.2">
      <c r="A209" t="str">
        <f t="shared" si="3"/>
        <v>acspolymersau/2c00013_si_fs16</v>
      </c>
      <c r="B209" t="s">
        <v>2</v>
      </c>
      <c r="C209" s="1" t="s">
        <v>74</v>
      </c>
      <c r="D209" t="s">
        <v>46</v>
      </c>
      <c r="E209" t="s">
        <v>147</v>
      </c>
      <c r="F209" t="s">
        <v>81</v>
      </c>
      <c r="G209">
        <v>1</v>
      </c>
      <c r="H209" t="str" cm="1">
        <f t="array" ref="H209">INDEX(_xlfn.TEXTSPLIT(INDEX(_xlfn.TEXTSPLIT(C209, "/"), 5), "."), 1)</f>
        <v>acspolymersau</v>
      </c>
      <c r="I209" t="str" cm="1">
        <f t="array" ref="I209">IF(E209="Abstract","a",LOWER(_xlfn.CONCAT(LEFT(INDEX(_xlfn.TEXTSPLIT(E209," "),1),1),INDEX(_xlfn.TEXTSPLIT(E209," "),2))))</f>
        <v>fs16</v>
      </c>
    </row>
    <row r="210" spans="1:9" x14ac:dyDescent="0.2">
      <c r="A210" t="str">
        <f t="shared" si="3"/>
        <v>acspolymersau/2c00013_si_fs17</v>
      </c>
      <c r="B210" t="s">
        <v>2</v>
      </c>
      <c r="C210" s="1" t="s">
        <v>74</v>
      </c>
      <c r="D210" t="s">
        <v>46</v>
      </c>
      <c r="E210" t="s">
        <v>148</v>
      </c>
      <c r="F210" t="s">
        <v>81</v>
      </c>
      <c r="G210">
        <v>1</v>
      </c>
      <c r="H210" t="str" cm="1">
        <f t="array" ref="H210">INDEX(_xlfn.TEXTSPLIT(INDEX(_xlfn.TEXTSPLIT(C210, "/"), 5), "."), 1)</f>
        <v>acspolymersau</v>
      </c>
      <c r="I210" t="str" cm="1">
        <f t="array" ref="I210">IF(E210="Abstract","a",LOWER(_xlfn.CONCAT(LEFT(INDEX(_xlfn.TEXTSPLIT(E210," "),1),1),INDEX(_xlfn.TEXTSPLIT(E210," "),2))))</f>
        <v>fs17</v>
      </c>
    </row>
    <row r="211" spans="1:9" x14ac:dyDescent="0.2">
      <c r="A211" t="str">
        <f t="shared" si="3"/>
        <v>acspolymersau/2c00013_si_fs18</v>
      </c>
      <c r="B211" t="s">
        <v>2</v>
      </c>
      <c r="C211" s="1" t="s">
        <v>74</v>
      </c>
      <c r="D211" t="s">
        <v>46</v>
      </c>
      <c r="E211" t="s">
        <v>149</v>
      </c>
      <c r="F211" t="s">
        <v>81</v>
      </c>
      <c r="G211">
        <v>1</v>
      </c>
      <c r="H211" t="str" cm="1">
        <f t="array" ref="H211">INDEX(_xlfn.TEXTSPLIT(INDEX(_xlfn.TEXTSPLIT(C211, "/"), 5), "."), 1)</f>
        <v>acspolymersau</v>
      </c>
      <c r="I211" t="str" cm="1">
        <f t="array" ref="I211">IF(E211="Abstract","a",LOWER(_xlfn.CONCAT(LEFT(INDEX(_xlfn.TEXTSPLIT(E211," "),1),1),INDEX(_xlfn.TEXTSPLIT(E211," "),2))))</f>
        <v>fs18</v>
      </c>
    </row>
    <row r="212" spans="1:9" x14ac:dyDescent="0.2">
      <c r="A212" t="str">
        <f t="shared" si="3"/>
        <v>acspolymersau/2c00013_si_fs19</v>
      </c>
      <c r="B212" t="s">
        <v>2</v>
      </c>
      <c r="C212" s="1" t="s">
        <v>74</v>
      </c>
      <c r="D212" t="s">
        <v>46</v>
      </c>
      <c r="E212" t="s">
        <v>150</v>
      </c>
      <c r="F212" t="s">
        <v>81</v>
      </c>
      <c r="G212">
        <v>1</v>
      </c>
      <c r="H212" t="str" cm="1">
        <f t="array" ref="H212">INDEX(_xlfn.TEXTSPLIT(INDEX(_xlfn.TEXTSPLIT(C212, "/"), 5), "."), 1)</f>
        <v>acspolymersau</v>
      </c>
      <c r="I212" t="str" cm="1">
        <f t="array" ref="I212">IF(E212="Abstract","a",LOWER(_xlfn.CONCAT(LEFT(INDEX(_xlfn.TEXTSPLIT(E212," "),1),1),INDEX(_xlfn.TEXTSPLIT(E212," "),2))))</f>
        <v>fs19</v>
      </c>
    </row>
    <row r="213" spans="1:9" x14ac:dyDescent="0.2">
      <c r="A213" t="str">
        <f t="shared" si="3"/>
        <v>acspolymersau/2c00013_si_fs20</v>
      </c>
      <c r="B213" t="s">
        <v>2</v>
      </c>
      <c r="C213" s="1" t="s">
        <v>74</v>
      </c>
      <c r="D213" t="s">
        <v>46</v>
      </c>
      <c r="E213" t="s">
        <v>151</v>
      </c>
      <c r="F213" t="s">
        <v>81</v>
      </c>
      <c r="G213">
        <v>1</v>
      </c>
      <c r="H213" t="str" cm="1">
        <f t="array" ref="H213">INDEX(_xlfn.TEXTSPLIT(INDEX(_xlfn.TEXTSPLIT(C213, "/"), 5), "."), 1)</f>
        <v>acspolymersau</v>
      </c>
      <c r="I213" t="str" cm="1">
        <f t="array" ref="I213">IF(E213="Abstract","a",LOWER(_xlfn.CONCAT(LEFT(INDEX(_xlfn.TEXTSPLIT(E213," "),1),1),INDEX(_xlfn.TEXTSPLIT(E213," "),2))))</f>
        <v>fs20</v>
      </c>
    </row>
    <row r="214" spans="1:9" x14ac:dyDescent="0.2">
      <c r="A214" t="str">
        <f t="shared" si="3"/>
        <v>acspolymersau/2c00013_si_fs21</v>
      </c>
      <c r="B214" t="s">
        <v>2</v>
      </c>
      <c r="C214" s="1" t="s">
        <v>74</v>
      </c>
      <c r="D214" t="s">
        <v>46</v>
      </c>
      <c r="E214" t="s">
        <v>152</v>
      </c>
      <c r="F214" t="s">
        <v>81</v>
      </c>
      <c r="G214">
        <v>1</v>
      </c>
      <c r="H214" t="str" cm="1">
        <f t="array" ref="H214">INDEX(_xlfn.TEXTSPLIT(INDEX(_xlfn.TEXTSPLIT(C214, "/"), 5), "."), 1)</f>
        <v>acspolymersau</v>
      </c>
      <c r="I214" t="str" cm="1">
        <f t="array" ref="I214">IF(E214="Abstract","a",LOWER(_xlfn.CONCAT(LEFT(INDEX(_xlfn.TEXTSPLIT(E214," "),1),1),INDEX(_xlfn.TEXTSPLIT(E214," "),2))))</f>
        <v>fs21</v>
      </c>
    </row>
    <row r="215" spans="1:9" x14ac:dyDescent="0.2">
      <c r="A215" t="str">
        <f t="shared" si="3"/>
        <v>acspolymersau/2c00013_si_fs22</v>
      </c>
      <c r="B215" t="s">
        <v>2</v>
      </c>
      <c r="C215" s="1" t="s">
        <v>74</v>
      </c>
      <c r="D215" t="s">
        <v>46</v>
      </c>
      <c r="E215" t="s">
        <v>153</v>
      </c>
      <c r="F215" t="s">
        <v>81</v>
      </c>
      <c r="G215">
        <v>1</v>
      </c>
      <c r="H215" t="str" cm="1">
        <f t="array" ref="H215">INDEX(_xlfn.TEXTSPLIT(INDEX(_xlfn.TEXTSPLIT(C215, "/"), 5), "."), 1)</f>
        <v>acspolymersau</v>
      </c>
      <c r="I215" t="str" cm="1">
        <f t="array" ref="I215">IF(E215="Abstract","a",LOWER(_xlfn.CONCAT(LEFT(INDEX(_xlfn.TEXTSPLIT(E215," "),1),1),INDEX(_xlfn.TEXTSPLIT(E215," "),2))))</f>
        <v>fs22</v>
      </c>
    </row>
    <row r="216" spans="1:9" x14ac:dyDescent="0.2">
      <c r="A216" t="str">
        <f t="shared" si="3"/>
        <v>acspolymersau/2c00014_s1</v>
      </c>
      <c r="B216" t="s">
        <v>2</v>
      </c>
      <c r="C216" s="1" t="s">
        <v>75</v>
      </c>
      <c r="D216" t="s">
        <v>132</v>
      </c>
      <c r="E216" t="s">
        <v>40</v>
      </c>
      <c r="F216" t="s">
        <v>81</v>
      </c>
      <c r="G216">
        <v>3</v>
      </c>
      <c r="H216" t="str" cm="1">
        <f t="array" ref="H216">INDEX(_xlfn.TEXTSPLIT(INDEX(_xlfn.TEXTSPLIT(C216, "/"), 5), "."), 1)</f>
        <v>acspolymersau</v>
      </c>
      <c r="I216" t="str" cm="1">
        <f t="array" ref="I216">IF(E216="Abstract","a",LOWER(_xlfn.CONCAT(LEFT(INDEX(_xlfn.TEXTSPLIT(E216," "),1),1),INDEX(_xlfn.TEXTSPLIT(E216," "),2))))</f>
        <v>s1</v>
      </c>
    </row>
    <row r="217" spans="1:9" x14ac:dyDescent="0.2">
      <c r="A217" t="str">
        <f t="shared" si="3"/>
        <v>acspolymersau/2c00017_f1</v>
      </c>
      <c r="B217" t="s">
        <v>2</v>
      </c>
      <c r="C217" s="1" t="s">
        <v>77</v>
      </c>
      <c r="D217" t="s">
        <v>132</v>
      </c>
      <c r="E217" t="s">
        <v>36</v>
      </c>
      <c r="F217" t="s">
        <v>82</v>
      </c>
      <c r="G217">
        <v>2</v>
      </c>
      <c r="H217" t="str" cm="1">
        <f t="array" ref="H217">INDEX(_xlfn.TEXTSPLIT(INDEX(_xlfn.TEXTSPLIT(C217, "/"), 5), "."), 1)</f>
        <v>acspolymersau</v>
      </c>
      <c r="I217" t="str" cm="1">
        <f t="array" ref="I217">IF(E217="Abstract","a",LOWER(_xlfn.CONCAT(LEFT(INDEX(_xlfn.TEXTSPLIT(E217," "),1),1),INDEX(_xlfn.TEXTSPLIT(E217," "),2))))</f>
        <v>f1</v>
      </c>
    </row>
    <row r="218" spans="1:9" x14ac:dyDescent="0.2">
      <c r="A218" t="str">
        <f t="shared" si="3"/>
        <v>acspolymersau/2c00017_f2</v>
      </c>
      <c r="B218" t="s">
        <v>2</v>
      </c>
      <c r="C218" s="1" t="s">
        <v>77</v>
      </c>
      <c r="D218" t="s">
        <v>132</v>
      </c>
      <c r="E218" t="s">
        <v>37</v>
      </c>
      <c r="F218" t="s">
        <v>82</v>
      </c>
      <c r="G218">
        <v>2</v>
      </c>
      <c r="H218" t="str" cm="1">
        <f t="array" ref="H218">INDEX(_xlfn.TEXTSPLIT(INDEX(_xlfn.TEXTSPLIT(C218, "/"), 5), "."), 1)</f>
        <v>acspolymersau</v>
      </c>
      <c r="I218" t="str" cm="1">
        <f t="array" ref="I218">IF(E218="Abstract","a",LOWER(_xlfn.CONCAT(LEFT(INDEX(_xlfn.TEXTSPLIT(E218," "),1),1),INDEX(_xlfn.TEXTSPLIT(E218," "),2))))</f>
        <v>f2</v>
      </c>
    </row>
    <row r="219" spans="1:9" x14ac:dyDescent="0.2">
      <c r="A219" t="str">
        <f t="shared" si="3"/>
        <v>acspolymersau/2c00017_f4</v>
      </c>
      <c r="B219" t="s">
        <v>2</v>
      </c>
      <c r="C219" s="1" t="s">
        <v>77</v>
      </c>
      <c r="D219" t="s">
        <v>132</v>
      </c>
      <c r="E219" t="s">
        <v>34</v>
      </c>
      <c r="F219" t="s">
        <v>82</v>
      </c>
      <c r="G219">
        <v>3</v>
      </c>
      <c r="H219" t="str" cm="1">
        <f t="array" ref="H219">INDEX(_xlfn.TEXTSPLIT(INDEX(_xlfn.TEXTSPLIT(C219, "/"), 5), "."), 1)</f>
        <v>acspolymersau</v>
      </c>
      <c r="I219" t="str" cm="1">
        <f t="array" ref="I219">IF(E219="Abstract","a",LOWER(_xlfn.CONCAT(LEFT(INDEX(_xlfn.TEXTSPLIT(E219," "),1),1),INDEX(_xlfn.TEXTSPLIT(E219," "),2))))</f>
        <v>f4</v>
      </c>
    </row>
    <row r="220" spans="1:9" x14ac:dyDescent="0.2">
      <c r="A220" t="str">
        <f t="shared" si="3"/>
        <v>acspolymersau/2c00017_si_fs1</v>
      </c>
      <c r="B220" t="s">
        <v>2</v>
      </c>
      <c r="C220" s="1" t="s">
        <v>77</v>
      </c>
      <c r="D220" t="s">
        <v>46</v>
      </c>
      <c r="E220" t="s">
        <v>154</v>
      </c>
      <c r="F220" t="s">
        <v>82</v>
      </c>
      <c r="G220">
        <v>9</v>
      </c>
      <c r="H220" t="str" cm="1">
        <f t="array" ref="H220">INDEX(_xlfn.TEXTSPLIT(INDEX(_xlfn.TEXTSPLIT(C220, "/"), 5), "."), 1)</f>
        <v>acspolymersau</v>
      </c>
      <c r="I220" t="str" cm="1">
        <f t="array" ref="I220">IF(E220="Abstract","a",LOWER(_xlfn.CONCAT(LEFT(INDEX(_xlfn.TEXTSPLIT(E220," "),1),1),INDEX(_xlfn.TEXTSPLIT(E220," "),2))))</f>
        <v>fs1</v>
      </c>
    </row>
    <row r="221" spans="1:9" x14ac:dyDescent="0.2">
      <c r="A221" t="str">
        <f t="shared" si="3"/>
        <v>acspolymersau/2c00017_si_fs12</v>
      </c>
      <c r="B221" t="s">
        <v>2</v>
      </c>
      <c r="C221" s="1" t="s">
        <v>77</v>
      </c>
      <c r="D221" t="s">
        <v>46</v>
      </c>
      <c r="E221" t="s">
        <v>157</v>
      </c>
      <c r="F221" t="s">
        <v>82</v>
      </c>
      <c r="G221">
        <v>1</v>
      </c>
      <c r="H221" t="str" cm="1">
        <f t="array" ref="H221">INDEX(_xlfn.TEXTSPLIT(INDEX(_xlfn.TEXTSPLIT(C221, "/"), 5), "."), 1)</f>
        <v>acspolymersau</v>
      </c>
      <c r="I221" t="str" cm="1">
        <f t="array" ref="I221">IF(E221="Abstract","a",LOWER(_xlfn.CONCAT(LEFT(INDEX(_xlfn.TEXTSPLIT(E221," "),1),1),INDEX(_xlfn.TEXTSPLIT(E221," "),2))))</f>
        <v>fs12</v>
      </c>
    </row>
    <row r="222" spans="1:9" x14ac:dyDescent="0.2">
      <c r="A222" t="str">
        <f t="shared" si="3"/>
        <v>acspolymersau/2c00017_si_fs5</v>
      </c>
      <c r="B222" t="s">
        <v>2</v>
      </c>
      <c r="C222" s="1" t="s">
        <v>77</v>
      </c>
      <c r="D222" t="s">
        <v>46</v>
      </c>
      <c r="E222" t="s">
        <v>155</v>
      </c>
      <c r="F222" t="s">
        <v>82</v>
      </c>
      <c r="G222">
        <v>2</v>
      </c>
      <c r="H222" t="str" cm="1">
        <f t="array" ref="H222">INDEX(_xlfn.TEXTSPLIT(INDEX(_xlfn.TEXTSPLIT(C222, "/"), 5), "."), 1)</f>
        <v>acspolymersau</v>
      </c>
      <c r="I222" t="str" cm="1">
        <f t="array" ref="I222">IF(E222="Abstract","a",LOWER(_xlfn.CONCAT(LEFT(INDEX(_xlfn.TEXTSPLIT(E222," "),1),1),INDEX(_xlfn.TEXTSPLIT(E222," "),2))))</f>
        <v>fs5</v>
      </c>
    </row>
    <row r="223" spans="1:9" x14ac:dyDescent="0.2">
      <c r="A223" t="str">
        <f t="shared" si="3"/>
        <v>acspolymersau/2c00017_si_fs9</v>
      </c>
      <c r="B223" t="s">
        <v>2</v>
      </c>
      <c r="C223" s="1" t="s">
        <v>77</v>
      </c>
      <c r="D223" t="s">
        <v>46</v>
      </c>
      <c r="E223" t="s">
        <v>156</v>
      </c>
      <c r="F223" t="s">
        <v>82</v>
      </c>
      <c r="G223">
        <v>2</v>
      </c>
      <c r="H223" t="str" cm="1">
        <f t="array" ref="H223">INDEX(_xlfn.TEXTSPLIT(INDEX(_xlfn.TEXTSPLIT(C223, "/"), 5), "."), 1)</f>
        <v>acspolymersau</v>
      </c>
      <c r="I223" t="str" cm="1">
        <f t="array" ref="I223">IF(E223="Abstract","a",LOWER(_xlfn.CONCAT(LEFT(INDEX(_xlfn.TEXTSPLIT(E223," "),1),1),INDEX(_xlfn.TEXTSPLIT(E223," "),2))))</f>
        <v>fs9</v>
      </c>
    </row>
    <row r="224" spans="1:9" x14ac:dyDescent="0.2">
      <c r="A224" t="str">
        <f t="shared" si="3"/>
        <v>acspolymersau/2c00019_f1</v>
      </c>
      <c r="B224" t="s">
        <v>2</v>
      </c>
      <c r="C224" s="1" t="s">
        <v>76</v>
      </c>
      <c r="D224" t="s">
        <v>132</v>
      </c>
      <c r="E224" t="s">
        <v>36</v>
      </c>
      <c r="F224" t="s">
        <v>81</v>
      </c>
      <c r="G224">
        <v>2</v>
      </c>
      <c r="H224" t="str" cm="1">
        <f t="array" ref="H224">INDEX(_xlfn.TEXTSPLIT(INDEX(_xlfn.TEXTSPLIT(C224, "/"), 5), "."), 1)</f>
        <v>acspolymersau</v>
      </c>
      <c r="I224" t="str" cm="1">
        <f t="array" ref="I224">IF(E224="Abstract","a",LOWER(_xlfn.CONCAT(LEFT(INDEX(_xlfn.TEXTSPLIT(E224," "),1),1),INDEX(_xlfn.TEXTSPLIT(E224," "),2))))</f>
        <v>f1</v>
      </c>
    </row>
    <row r="225" spans="1:9" x14ac:dyDescent="0.2">
      <c r="A225" t="str">
        <f t="shared" si="3"/>
        <v>acspolymersau/2c00019_s1</v>
      </c>
      <c r="B225" t="s">
        <v>2</v>
      </c>
      <c r="C225" s="1" t="s">
        <v>76</v>
      </c>
      <c r="D225" t="s">
        <v>132</v>
      </c>
      <c r="E225" t="s">
        <v>40</v>
      </c>
      <c r="F225" t="s">
        <v>81</v>
      </c>
      <c r="G225">
        <v>2</v>
      </c>
      <c r="H225" t="str" cm="1">
        <f t="array" ref="H225">INDEX(_xlfn.TEXTSPLIT(INDEX(_xlfn.TEXTSPLIT(C225, "/"), 5), "."), 1)</f>
        <v>acspolymersau</v>
      </c>
      <c r="I225" t="str" cm="1">
        <f t="array" ref="I225">IF(E225="Abstract","a",LOWER(_xlfn.CONCAT(LEFT(INDEX(_xlfn.TEXTSPLIT(E225," "),1),1),INDEX(_xlfn.TEXTSPLIT(E225," "),2))))</f>
        <v>s1</v>
      </c>
    </row>
    <row r="226" spans="1:9" x14ac:dyDescent="0.2">
      <c r="A226" t="str">
        <f t="shared" si="3"/>
        <v>acspolymersau/2c00023_si_fs6</v>
      </c>
      <c r="B226" t="s">
        <v>2</v>
      </c>
      <c r="C226" s="1" t="s">
        <v>78</v>
      </c>
      <c r="D226" t="s">
        <v>46</v>
      </c>
      <c r="E226" t="s">
        <v>158</v>
      </c>
      <c r="F226" t="s">
        <v>82</v>
      </c>
      <c r="G226">
        <v>1</v>
      </c>
      <c r="H226" t="str" cm="1">
        <f t="array" ref="H226">INDEX(_xlfn.TEXTSPLIT(INDEX(_xlfn.TEXTSPLIT(C226, "/"), 5), "."), 1)</f>
        <v>acspolymersau</v>
      </c>
      <c r="I226" t="str" cm="1">
        <f t="array" ref="I226">IF(E226="Abstract","a",LOWER(_xlfn.CONCAT(LEFT(INDEX(_xlfn.TEXTSPLIT(E226," "),1),1),INDEX(_xlfn.TEXTSPLIT(E226," "),2))))</f>
        <v>fs6</v>
      </c>
    </row>
    <row r="227" spans="1:9" x14ac:dyDescent="0.2">
      <c r="A227" t="str">
        <f t="shared" si="3"/>
        <v>acspolymersau/2c00026_f6</v>
      </c>
      <c r="B227" t="s">
        <v>2</v>
      </c>
      <c r="C227" s="1" t="s">
        <v>73</v>
      </c>
      <c r="D227" t="s">
        <v>132</v>
      </c>
      <c r="E227" t="s">
        <v>32</v>
      </c>
      <c r="F227" t="s">
        <v>82</v>
      </c>
      <c r="G227">
        <v>4</v>
      </c>
      <c r="H227" t="str" cm="1">
        <f t="array" ref="H227">INDEX(_xlfn.TEXTSPLIT(INDEX(_xlfn.TEXTSPLIT(C227, "/"), 5), "."), 1)</f>
        <v>acspolymersau</v>
      </c>
      <c r="I227" t="str" cm="1">
        <f t="array" ref="I227">IF(E227="Abstract","a",LOWER(_xlfn.CONCAT(LEFT(INDEX(_xlfn.TEXTSPLIT(E227," "),1),1),INDEX(_xlfn.TEXTSPLIT(E227," "),2))))</f>
        <v>f6</v>
      </c>
    </row>
    <row r="228" spans="1:9" x14ac:dyDescent="0.2">
      <c r="A228" t="str">
        <f t="shared" si="3"/>
        <v>acspolymersau/2c00026_f8</v>
      </c>
      <c r="B228" t="s">
        <v>2</v>
      </c>
      <c r="C228" s="1" t="s">
        <v>73</v>
      </c>
      <c r="D228" t="s">
        <v>132</v>
      </c>
      <c r="E228" t="s">
        <v>72</v>
      </c>
      <c r="F228" t="s">
        <v>82</v>
      </c>
      <c r="G228">
        <v>2</v>
      </c>
      <c r="H228" t="str" cm="1">
        <f t="array" ref="H228">INDEX(_xlfn.TEXTSPLIT(INDEX(_xlfn.TEXTSPLIT(C228, "/"), 5), "."), 1)</f>
        <v>acspolymersau</v>
      </c>
      <c r="I228" t="str" cm="1">
        <f t="array" ref="I228">IF(E228="Abstract","a",LOWER(_xlfn.CONCAT(LEFT(INDEX(_xlfn.TEXTSPLIT(E228," "),1),1),INDEX(_xlfn.TEXTSPLIT(E228," "),2))))</f>
        <v>f8</v>
      </c>
    </row>
    <row r="229" spans="1:9" x14ac:dyDescent="0.2">
      <c r="A229" t="str">
        <f t="shared" si="3"/>
        <v>acspolymersau/2c00027_f1</v>
      </c>
      <c r="B229" t="s">
        <v>2</v>
      </c>
      <c r="C229" s="1" t="s">
        <v>88</v>
      </c>
      <c r="D229" t="s">
        <v>132</v>
      </c>
      <c r="E229" t="s">
        <v>36</v>
      </c>
      <c r="F229" t="s">
        <v>81</v>
      </c>
      <c r="G229">
        <v>2</v>
      </c>
      <c r="H229" t="str" cm="1">
        <f t="array" ref="H229">INDEX(_xlfn.TEXTSPLIT(INDEX(_xlfn.TEXTSPLIT(C229, "/"), 5), "."), 1)</f>
        <v>acspolymersau</v>
      </c>
      <c r="I229" t="str" cm="1">
        <f t="array" ref="I229">IF(E229="Abstract","a",LOWER(_xlfn.CONCAT(LEFT(INDEX(_xlfn.TEXTSPLIT(E229," "),1),1),INDEX(_xlfn.TEXTSPLIT(E229," "),2))))</f>
        <v>f1</v>
      </c>
    </row>
    <row r="230" spans="1:9" x14ac:dyDescent="0.2">
      <c r="A230" t="str">
        <f t="shared" si="3"/>
        <v>acspolymersau/2c00028_f1</v>
      </c>
      <c r="B230" t="s">
        <v>2</v>
      </c>
      <c r="C230" s="1" t="s">
        <v>84</v>
      </c>
      <c r="D230" t="s">
        <v>132</v>
      </c>
      <c r="E230" t="s">
        <v>36</v>
      </c>
      <c r="F230" t="s">
        <v>82</v>
      </c>
      <c r="G230">
        <v>4</v>
      </c>
      <c r="H230" t="str" cm="1">
        <f t="array" ref="H230">INDEX(_xlfn.TEXTSPLIT(INDEX(_xlfn.TEXTSPLIT(C230, "/"), 5), "."), 1)</f>
        <v>acspolymersau</v>
      </c>
      <c r="I230" t="str" cm="1">
        <f t="array" ref="I230">IF(E230="Abstract","a",LOWER(_xlfn.CONCAT(LEFT(INDEX(_xlfn.TEXTSPLIT(E230," "),1),1),INDEX(_xlfn.TEXTSPLIT(E230," "),2))))</f>
        <v>f1</v>
      </c>
    </row>
    <row r="231" spans="1:9" x14ac:dyDescent="0.2">
      <c r="A231" t="str">
        <f t="shared" si="3"/>
        <v>acspolymersau/2c00028_f3</v>
      </c>
      <c r="B231" t="s">
        <v>2</v>
      </c>
      <c r="C231" s="1" t="s">
        <v>84</v>
      </c>
      <c r="D231" t="s">
        <v>132</v>
      </c>
      <c r="E231" t="s">
        <v>69</v>
      </c>
      <c r="F231" t="s">
        <v>82</v>
      </c>
      <c r="G231">
        <v>2</v>
      </c>
      <c r="H231" t="str" cm="1">
        <f t="array" ref="H231">INDEX(_xlfn.TEXTSPLIT(INDEX(_xlfn.TEXTSPLIT(C231, "/"), 5), "."), 1)</f>
        <v>acspolymersau</v>
      </c>
      <c r="I231" t="str" cm="1">
        <f t="array" ref="I231">IF(E231="Abstract","a",LOWER(_xlfn.CONCAT(LEFT(INDEX(_xlfn.TEXTSPLIT(E231," "),1),1),INDEX(_xlfn.TEXTSPLIT(E231," "),2))))</f>
        <v>f3</v>
      </c>
    </row>
    <row r="232" spans="1:9" x14ac:dyDescent="0.2">
      <c r="A232" t="str">
        <f t="shared" si="3"/>
        <v>acspolymersau/2c00028_si_fs10</v>
      </c>
      <c r="B232" t="s">
        <v>2</v>
      </c>
      <c r="C232" s="1" t="s">
        <v>84</v>
      </c>
      <c r="D232" t="s">
        <v>46</v>
      </c>
      <c r="E232" t="s">
        <v>143</v>
      </c>
      <c r="F232" t="s">
        <v>85</v>
      </c>
      <c r="G232">
        <v>2</v>
      </c>
      <c r="H232" t="str" cm="1">
        <f t="array" ref="H232">INDEX(_xlfn.TEXTSPLIT(INDEX(_xlfn.TEXTSPLIT(C232, "/"), 5), "."), 1)</f>
        <v>acspolymersau</v>
      </c>
      <c r="I232" t="str" cm="1">
        <f t="array" ref="I232">IF(E232="Abstract","a",LOWER(_xlfn.CONCAT(LEFT(INDEX(_xlfn.TEXTSPLIT(E232," "),1),1),INDEX(_xlfn.TEXTSPLIT(E232," "),2))))</f>
        <v>fs10</v>
      </c>
    </row>
    <row r="233" spans="1:9" x14ac:dyDescent="0.2">
      <c r="A233" t="str">
        <f t="shared" si="3"/>
        <v>acspolymersau/2c00030_f1</v>
      </c>
      <c r="B233" t="s">
        <v>2</v>
      </c>
      <c r="C233" s="1" t="s">
        <v>86</v>
      </c>
      <c r="D233" t="s">
        <v>132</v>
      </c>
      <c r="E233" t="s">
        <v>36</v>
      </c>
      <c r="F233" t="s">
        <v>81</v>
      </c>
      <c r="G233">
        <v>4</v>
      </c>
      <c r="H233" t="str" cm="1">
        <f t="array" ref="H233">INDEX(_xlfn.TEXTSPLIT(INDEX(_xlfn.TEXTSPLIT(C233, "/"), 5), "."), 1)</f>
        <v>acspolymersau</v>
      </c>
      <c r="I233" t="str" cm="1">
        <f t="array" ref="I233">IF(E233="Abstract","a",LOWER(_xlfn.CONCAT(LEFT(INDEX(_xlfn.TEXTSPLIT(E233," "),1),1),INDEX(_xlfn.TEXTSPLIT(E233," "),2))))</f>
        <v>f1</v>
      </c>
    </row>
    <row r="234" spans="1:9" x14ac:dyDescent="0.2">
      <c r="A234" t="str">
        <f t="shared" si="3"/>
        <v>acspolymersau/2c00030_f2</v>
      </c>
      <c r="B234" t="s">
        <v>2</v>
      </c>
      <c r="C234" s="1" t="s">
        <v>86</v>
      </c>
      <c r="D234" t="s">
        <v>132</v>
      </c>
      <c r="E234" t="s">
        <v>37</v>
      </c>
      <c r="F234" t="s">
        <v>81</v>
      </c>
      <c r="G234">
        <v>3</v>
      </c>
      <c r="H234" t="str" cm="1">
        <f t="array" ref="H234">INDEX(_xlfn.TEXTSPLIT(INDEX(_xlfn.TEXTSPLIT(C234, "/"), 5), "."), 1)</f>
        <v>acspolymersau</v>
      </c>
      <c r="I234" t="str" cm="1">
        <f t="array" ref="I234">IF(E234="Abstract","a",LOWER(_xlfn.CONCAT(LEFT(INDEX(_xlfn.TEXTSPLIT(E234," "),1),1),INDEX(_xlfn.TEXTSPLIT(E234," "),2))))</f>
        <v>f2</v>
      </c>
    </row>
    <row r="235" spans="1:9" x14ac:dyDescent="0.2">
      <c r="A235" t="str">
        <f t="shared" si="3"/>
        <v>acspolymersau/2c00030_si_ps5</v>
      </c>
      <c r="B235" t="s">
        <v>2</v>
      </c>
      <c r="C235" s="1" t="s">
        <v>86</v>
      </c>
      <c r="D235" t="s">
        <v>46</v>
      </c>
      <c r="E235" t="s">
        <v>159</v>
      </c>
      <c r="F235" t="s">
        <v>85</v>
      </c>
      <c r="G235">
        <v>1</v>
      </c>
      <c r="H235" t="str" cm="1">
        <f t="array" ref="H235">INDEX(_xlfn.TEXTSPLIT(INDEX(_xlfn.TEXTSPLIT(C235, "/"), 5), "."), 1)</f>
        <v>acspolymersau</v>
      </c>
      <c r="I235" t="str" cm="1">
        <f t="array" ref="I235">IF(E235="Abstract","a",LOWER(_xlfn.CONCAT(LEFT(INDEX(_xlfn.TEXTSPLIT(E235," "),1),1),INDEX(_xlfn.TEXTSPLIT(E235," "),2))))</f>
        <v>ps5</v>
      </c>
    </row>
    <row r="236" spans="1:9" x14ac:dyDescent="0.2">
      <c r="A236" t="str">
        <f t="shared" si="3"/>
        <v>acspolymersau/2c00030_si_ps6</v>
      </c>
      <c r="B236" t="s">
        <v>2</v>
      </c>
      <c r="C236" s="1" t="s">
        <v>86</v>
      </c>
      <c r="D236" t="s">
        <v>46</v>
      </c>
      <c r="E236" t="s">
        <v>160</v>
      </c>
      <c r="F236" t="s">
        <v>85</v>
      </c>
      <c r="G236">
        <v>2</v>
      </c>
      <c r="H236" t="str" cm="1">
        <f t="array" ref="H236">INDEX(_xlfn.TEXTSPLIT(INDEX(_xlfn.TEXTSPLIT(C236, "/"), 5), "."), 1)</f>
        <v>acspolymersau</v>
      </c>
      <c r="I236" t="str" cm="1">
        <f t="array" ref="I236">IF(E236="Abstract","a",LOWER(_xlfn.CONCAT(LEFT(INDEX(_xlfn.TEXTSPLIT(E236," "),1),1),INDEX(_xlfn.TEXTSPLIT(E236," "),2))))</f>
        <v>ps6</v>
      </c>
    </row>
    <row r="237" spans="1:9" x14ac:dyDescent="0.2">
      <c r="A237" t="str">
        <f t="shared" si="3"/>
        <v>acspolymersau/2c00030_si_ps7</v>
      </c>
      <c r="B237" t="s">
        <v>2</v>
      </c>
      <c r="C237" s="1" t="s">
        <v>86</v>
      </c>
      <c r="D237" t="s">
        <v>46</v>
      </c>
      <c r="E237" t="s">
        <v>161</v>
      </c>
      <c r="F237" t="s">
        <v>85</v>
      </c>
      <c r="G237">
        <v>1</v>
      </c>
      <c r="H237" t="str" cm="1">
        <f t="array" ref="H237">INDEX(_xlfn.TEXTSPLIT(INDEX(_xlfn.TEXTSPLIT(C237, "/"), 5), "."), 1)</f>
        <v>acspolymersau</v>
      </c>
      <c r="I237" t="str" cm="1">
        <f t="array" ref="I237">IF(E237="Abstract","a",LOWER(_xlfn.CONCAT(LEFT(INDEX(_xlfn.TEXTSPLIT(E237," "),1),1),INDEX(_xlfn.TEXTSPLIT(E237," "),2))))</f>
        <v>ps7</v>
      </c>
    </row>
    <row r="238" spans="1:9" x14ac:dyDescent="0.2">
      <c r="A238" t="str">
        <f t="shared" si="3"/>
        <v>acspolymersau/2c00030_si_ps8</v>
      </c>
      <c r="B238" t="s">
        <v>2</v>
      </c>
      <c r="C238" s="1" t="s">
        <v>86</v>
      </c>
      <c r="D238" t="s">
        <v>46</v>
      </c>
      <c r="E238" t="s">
        <v>140</v>
      </c>
      <c r="F238" t="s">
        <v>85</v>
      </c>
      <c r="G238">
        <v>1</v>
      </c>
      <c r="H238" t="str" cm="1">
        <f t="array" ref="H238">INDEX(_xlfn.TEXTSPLIT(INDEX(_xlfn.TEXTSPLIT(C238, "/"), 5), "."), 1)</f>
        <v>acspolymersau</v>
      </c>
      <c r="I238" t="str" cm="1">
        <f t="array" ref="I238">IF(E238="Abstract","a",LOWER(_xlfn.CONCAT(LEFT(INDEX(_xlfn.TEXTSPLIT(E238," "),1),1),INDEX(_xlfn.TEXTSPLIT(E238," "),2))))</f>
        <v>ps8</v>
      </c>
    </row>
    <row r="239" spans="1:9" x14ac:dyDescent="0.2">
      <c r="A239" t="str">
        <f t="shared" si="3"/>
        <v>acspolymersau/2c00032_s1</v>
      </c>
      <c r="B239" t="s">
        <v>2</v>
      </c>
      <c r="C239" s="1" t="s">
        <v>87</v>
      </c>
      <c r="D239" t="s">
        <v>132</v>
      </c>
      <c r="E239" t="s">
        <v>40</v>
      </c>
      <c r="F239" t="s">
        <v>81</v>
      </c>
      <c r="G239">
        <v>2</v>
      </c>
      <c r="H239" t="str" cm="1">
        <f t="array" ref="H239">INDEX(_xlfn.TEXTSPLIT(INDEX(_xlfn.TEXTSPLIT(C239, "/"), 5), "."), 1)</f>
        <v>acspolymersau</v>
      </c>
      <c r="I239" t="str" cm="1">
        <f t="array" ref="I239">IF(E239="Abstract","a",LOWER(_xlfn.CONCAT(LEFT(INDEX(_xlfn.TEXTSPLIT(E239," "),1),1),INDEX(_xlfn.TEXTSPLIT(E239," "),2))))</f>
        <v>s1</v>
      </c>
    </row>
    <row r="240" spans="1:9" x14ac:dyDescent="0.2">
      <c r="A240" t="str">
        <f t="shared" si="3"/>
        <v>acspolymersau/2c00032_s2</v>
      </c>
      <c r="B240" t="s">
        <v>2</v>
      </c>
      <c r="C240" s="1" t="s">
        <v>87</v>
      </c>
      <c r="D240" t="s">
        <v>132</v>
      </c>
      <c r="E240" t="s">
        <v>41</v>
      </c>
      <c r="F240" t="s">
        <v>81</v>
      </c>
      <c r="G240">
        <v>2</v>
      </c>
      <c r="H240" t="str" cm="1">
        <f t="array" ref="H240">INDEX(_xlfn.TEXTSPLIT(INDEX(_xlfn.TEXTSPLIT(C240, "/"), 5), "."), 1)</f>
        <v>acspolymersau</v>
      </c>
      <c r="I240" t="str" cm="1">
        <f t="array" ref="I240">IF(E240="Abstract","a",LOWER(_xlfn.CONCAT(LEFT(INDEX(_xlfn.TEXTSPLIT(E240," "),1),1),INDEX(_xlfn.TEXTSPLIT(E240," "),2))))</f>
        <v>s2</v>
      </c>
    </row>
    <row r="241" spans="1:9" x14ac:dyDescent="0.2">
      <c r="A241" t="str">
        <f t="shared" si="3"/>
        <v>acspolymersau/2c00032_si_ps10</v>
      </c>
      <c r="B241" t="s">
        <v>2</v>
      </c>
      <c r="C241" s="1" t="s">
        <v>87</v>
      </c>
      <c r="D241" t="s">
        <v>46</v>
      </c>
      <c r="E241" t="s">
        <v>142</v>
      </c>
      <c r="F241" t="s">
        <v>85</v>
      </c>
      <c r="G241">
        <v>1</v>
      </c>
      <c r="H241" t="str" cm="1">
        <f t="array" ref="H241">INDEX(_xlfn.TEXTSPLIT(INDEX(_xlfn.TEXTSPLIT(C241, "/"), 5), "."), 1)</f>
        <v>acspolymersau</v>
      </c>
      <c r="I241" t="str" cm="1">
        <f t="array" ref="I241">IF(E241="Abstract","a",LOWER(_xlfn.CONCAT(LEFT(INDEX(_xlfn.TEXTSPLIT(E241," "),1),1),INDEX(_xlfn.TEXTSPLIT(E241," "),2))))</f>
        <v>ps10</v>
      </c>
    </row>
    <row r="242" spans="1:9" x14ac:dyDescent="0.2">
      <c r="A242" t="str">
        <f t="shared" si="3"/>
        <v>acspolymersau/2c00032_si_ps12</v>
      </c>
      <c r="B242" t="s">
        <v>2</v>
      </c>
      <c r="C242" s="1" t="s">
        <v>87</v>
      </c>
      <c r="D242" t="s">
        <v>46</v>
      </c>
      <c r="E242" t="s">
        <v>162</v>
      </c>
      <c r="F242" t="s">
        <v>85</v>
      </c>
      <c r="G242">
        <v>1</v>
      </c>
      <c r="H242" t="str" cm="1">
        <f t="array" ref="H242">INDEX(_xlfn.TEXTSPLIT(INDEX(_xlfn.TEXTSPLIT(C242, "/"), 5), "."), 1)</f>
        <v>acspolymersau</v>
      </c>
      <c r="I242" t="str" cm="1">
        <f t="array" ref="I242">IF(E242="Abstract","a",LOWER(_xlfn.CONCAT(LEFT(INDEX(_xlfn.TEXTSPLIT(E242," "),1),1),INDEX(_xlfn.TEXTSPLIT(E242," "),2))))</f>
        <v>ps12</v>
      </c>
    </row>
    <row r="243" spans="1:9" x14ac:dyDescent="0.2">
      <c r="A243" t="str">
        <f t="shared" si="3"/>
        <v>acspolymersau/2c00032_si_ps8</v>
      </c>
      <c r="B243" t="s">
        <v>2</v>
      </c>
      <c r="C243" s="1" t="s">
        <v>87</v>
      </c>
      <c r="D243" t="s">
        <v>46</v>
      </c>
      <c r="E243" t="s">
        <v>140</v>
      </c>
      <c r="F243" t="s">
        <v>85</v>
      </c>
      <c r="G243">
        <v>2</v>
      </c>
      <c r="H243" t="str" cm="1">
        <f t="array" ref="H243">INDEX(_xlfn.TEXTSPLIT(INDEX(_xlfn.TEXTSPLIT(C243, "/"), 5), "."), 1)</f>
        <v>acspolymersau</v>
      </c>
      <c r="I243" t="str" cm="1">
        <f t="array" ref="I243">IF(E243="Abstract","a",LOWER(_xlfn.CONCAT(LEFT(INDEX(_xlfn.TEXTSPLIT(E243," "),1),1),INDEX(_xlfn.TEXTSPLIT(E243," "),2))))</f>
        <v>ps8</v>
      </c>
    </row>
    <row r="244" spans="1:9" x14ac:dyDescent="0.2">
      <c r="A244" t="str">
        <f t="shared" si="3"/>
        <v>acspolymersau/2c00034_f1</v>
      </c>
      <c r="B244" t="s">
        <v>2</v>
      </c>
      <c r="C244" s="1" t="s">
        <v>89</v>
      </c>
      <c r="D244" t="s">
        <v>132</v>
      </c>
      <c r="E244" t="s">
        <v>36</v>
      </c>
      <c r="F244" t="s">
        <v>81</v>
      </c>
      <c r="G244">
        <v>5</v>
      </c>
      <c r="H244" t="str" cm="1">
        <f t="array" ref="H244">INDEX(_xlfn.TEXTSPLIT(INDEX(_xlfn.TEXTSPLIT(C244, "/"), 5), "."), 1)</f>
        <v>acspolymersau</v>
      </c>
      <c r="I244" t="str" cm="1">
        <f t="array" ref="I244">IF(E244="Abstract","a",LOWER(_xlfn.CONCAT(LEFT(INDEX(_xlfn.TEXTSPLIT(E244," "),1),1),INDEX(_xlfn.TEXTSPLIT(E244," "),2))))</f>
        <v>f1</v>
      </c>
    </row>
    <row r="245" spans="1:9" x14ac:dyDescent="0.2">
      <c r="A245" t="str">
        <f t="shared" si="3"/>
        <v>acspolymersau/2c00035_s1</v>
      </c>
      <c r="B245" t="s">
        <v>2</v>
      </c>
      <c r="C245" s="1" t="s">
        <v>91</v>
      </c>
      <c r="D245" t="s">
        <v>132</v>
      </c>
      <c r="E245" t="s">
        <v>40</v>
      </c>
      <c r="F245" t="s">
        <v>81</v>
      </c>
      <c r="G245">
        <v>2</v>
      </c>
      <c r="H245" t="str" cm="1">
        <f t="array" ref="H245">INDEX(_xlfn.TEXTSPLIT(INDEX(_xlfn.TEXTSPLIT(C245, "/"), 5), "."), 1)</f>
        <v>acspolymersau</v>
      </c>
      <c r="I245" t="str" cm="1">
        <f t="array" ref="I245">IF(E245="Abstract","a",LOWER(_xlfn.CONCAT(LEFT(INDEX(_xlfn.TEXTSPLIT(E245," "),1),1),INDEX(_xlfn.TEXTSPLIT(E245," "),2))))</f>
        <v>s1</v>
      </c>
    </row>
    <row r="246" spans="1:9" x14ac:dyDescent="0.2">
      <c r="A246" t="str">
        <f t="shared" si="3"/>
        <v>acspolymersau/2c00036_f1</v>
      </c>
      <c r="B246" t="s">
        <v>2</v>
      </c>
      <c r="C246" s="1" t="s">
        <v>79</v>
      </c>
      <c r="D246" t="s">
        <v>132</v>
      </c>
      <c r="E246" t="s">
        <v>36</v>
      </c>
      <c r="F246" t="s">
        <v>81</v>
      </c>
      <c r="G246">
        <v>1</v>
      </c>
      <c r="H246" t="str" cm="1">
        <f t="array" ref="H246">INDEX(_xlfn.TEXTSPLIT(INDEX(_xlfn.TEXTSPLIT(C246, "/"), 5), "."), 1)</f>
        <v>acspolymersau</v>
      </c>
      <c r="I246" t="str" cm="1">
        <f t="array" ref="I246">IF(E246="Abstract","a",LOWER(_xlfn.CONCAT(LEFT(INDEX(_xlfn.TEXTSPLIT(E246," "),1),1),INDEX(_xlfn.TEXTSPLIT(E246," "),2))))</f>
        <v>f1</v>
      </c>
    </row>
    <row r="247" spans="1:9" x14ac:dyDescent="0.2">
      <c r="A247" t="str">
        <f t="shared" si="3"/>
        <v>acspolymersau/2c00036_f2</v>
      </c>
      <c r="B247" t="s">
        <v>2</v>
      </c>
      <c r="C247" s="1" t="s">
        <v>79</v>
      </c>
      <c r="D247" t="s">
        <v>132</v>
      </c>
      <c r="E247" t="s">
        <v>37</v>
      </c>
      <c r="F247" t="s">
        <v>81</v>
      </c>
      <c r="G247">
        <v>2</v>
      </c>
      <c r="H247" t="str" cm="1">
        <f t="array" ref="H247">INDEX(_xlfn.TEXTSPLIT(INDEX(_xlfn.TEXTSPLIT(C247, "/"), 5), "."), 1)</f>
        <v>acspolymersau</v>
      </c>
      <c r="I247" t="str" cm="1">
        <f t="array" ref="I247">IF(E247="Abstract","a",LOWER(_xlfn.CONCAT(LEFT(INDEX(_xlfn.TEXTSPLIT(E247," "),1),1),INDEX(_xlfn.TEXTSPLIT(E247," "),2))))</f>
        <v>f2</v>
      </c>
    </row>
    <row r="248" spans="1:9" x14ac:dyDescent="0.2">
      <c r="A248" t="str">
        <f t="shared" si="3"/>
        <v>acspolymersau/2c00036_f3</v>
      </c>
      <c r="B248" t="s">
        <v>2</v>
      </c>
      <c r="C248" s="1" t="s">
        <v>79</v>
      </c>
      <c r="D248" t="s">
        <v>132</v>
      </c>
      <c r="E248" t="s">
        <v>69</v>
      </c>
      <c r="F248" t="s">
        <v>81</v>
      </c>
      <c r="G248">
        <v>2</v>
      </c>
      <c r="H248" t="str" cm="1">
        <f t="array" ref="H248">INDEX(_xlfn.TEXTSPLIT(INDEX(_xlfn.TEXTSPLIT(C248, "/"), 5), "."), 1)</f>
        <v>acspolymersau</v>
      </c>
      <c r="I248" t="str" cm="1">
        <f t="array" ref="I248">IF(E248="Abstract","a",LOWER(_xlfn.CONCAT(LEFT(INDEX(_xlfn.TEXTSPLIT(E248," "),1),1),INDEX(_xlfn.TEXTSPLIT(E248," "),2))))</f>
        <v>f3</v>
      </c>
    </row>
    <row r="249" spans="1:9" x14ac:dyDescent="0.2">
      <c r="A249" t="str">
        <f t="shared" si="3"/>
        <v>acspolymersau/2c00038_s1</v>
      </c>
      <c r="B249" t="s">
        <v>2</v>
      </c>
      <c r="C249" s="1" t="s">
        <v>92</v>
      </c>
      <c r="D249" t="s">
        <v>132</v>
      </c>
      <c r="E249" t="s">
        <v>40</v>
      </c>
      <c r="F249" t="s">
        <v>81</v>
      </c>
      <c r="G249">
        <v>2</v>
      </c>
      <c r="H249" t="str" cm="1">
        <f t="array" ref="H249">INDEX(_xlfn.TEXTSPLIT(INDEX(_xlfn.TEXTSPLIT(C249, "/"), 5), "."), 1)</f>
        <v>acspolymersau</v>
      </c>
      <c r="I249" t="str" cm="1">
        <f t="array" ref="I249">IF(E249="Abstract","a",LOWER(_xlfn.CONCAT(LEFT(INDEX(_xlfn.TEXTSPLIT(E249," "),1),1),INDEX(_xlfn.TEXTSPLIT(E249," "),2))))</f>
        <v>s1</v>
      </c>
    </row>
    <row r="250" spans="1:9" x14ac:dyDescent="0.2">
      <c r="A250" t="str">
        <f t="shared" si="3"/>
        <v>acspolymersau/2c00044_f1</v>
      </c>
      <c r="B250" t="s">
        <v>2</v>
      </c>
      <c r="C250" s="1" t="s">
        <v>93</v>
      </c>
      <c r="D250" t="s">
        <v>132</v>
      </c>
      <c r="E250" t="s">
        <v>36</v>
      </c>
      <c r="F250" t="s">
        <v>82</v>
      </c>
      <c r="G250">
        <v>2</v>
      </c>
      <c r="H250" t="str" cm="1">
        <f t="array" ref="H250">INDEX(_xlfn.TEXTSPLIT(INDEX(_xlfn.TEXTSPLIT(C250, "/"), 5), "."), 1)</f>
        <v>acspolymersau</v>
      </c>
      <c r="I250" t="str" cm="1">
        <f t="array" ref="I250">IF(E250="Abstract","a",LOWER(_xlfn.CONCAT(LEFT(INDEX(_xlfn.TEXTSPLIT(E250," "),1),1),INDEX(_xlfn.TEXTSPLIT(E250," "),2))))</f>
        <v>f1</v>
      </c>
    </row>
    <row r="251" spans="1:9" x14ac:dyDescent="0.2">
      <c r="A251" t="str">
        <f t="shared" si="3"/>
        <v>acspolymersau/2c00044_si_fs1</v>
      </c>
      <c r="B251" t="s">
        <v>2</v>
      </c>
      <c r="C251" s="1" t="s">
        <v>93</v>
      </c>
      <c r="D251" t="s">
        <v>46</v>
      </c>
      <c r="E251" t="s">
        <v>154</v>
      </c>
      <c r="F251" t="s">
        <v>85</v>
      </c>
      <c r="G251">
        <v>4</v>
      </c>
      <c r="H251" t="str" cm="1">
        <f t="array" ref="H251">INDEX(_xlfn.TEXTSPLIT(INDEX(_xlfn.TEXTSPLIT(C251, "/"), 5), "."), 1)</f>
        <v>acspolymersau</v>
      </c>
      <c r="I251" t="str" cm="1">
        <f t="array" ref="I251">IF(E251="Abstract","a",LOWER(_xlfn.CONCAT(LEFT(INDEX(_xlfn.TEXTSPLIT(E251," "),1),1),INDEX(_xlfn.TEXTSPLIT(E251," "),2))))</f>
        <v>fs1</v>
      </c>
    </row>
    <row r="252" spans="1:9" x14ac:dyDescent="0.2">
      <c r="A252" t="str">
        <f t="shared" si="3"/>
        <v>acspolymersau/2c00045_f1</v>
      </c>
      <c r="B252" t="s">
        <v>2</v>
      </c>
      <c r="C252" s="1" t="s">
        <v>90</v>
      </c>
      <c r="D252" t="s">
        <v>132</v>
      </c>
      <c r="E252" t="s">
        <v>36</v>
      </c>
      <c r="F252" t="s">
        <v>82</v>
      </c>
      <c r="G252">
        <v>1</v>
      </c>
      <c r="H252" t="str" cm="1">
        <f t="array" ref="H252">INDEX(_xlfn.TEXTSPLIT(INDEX(_xlfn.TEXTSPLIT(C252, "/"), 5), "."), 1)</f>
        <v>acspolymersau</v>
      </c>
      <c r="I252" t="str" cm="1">
        <f t="array" ref="I252">IF(E252="Abstract","a",LOWER(_xlfn.CONCAT(LEFT(INDEX(_xlfn.TEXTSPLIT(E252," "),1),1),INDEX(_xlfn.TEXTSPLIT(E252," "),2))))</f>
        <v>f1</v>
      </c>
    </row>
    <row r="253" spans="1:9" x14ac:dyDescent="0.2">
      <c r="A253" t="str">
        <f t="shared" si="3"/>
        <v>acspolymersau/2c00045_f6</v>
      </c>
      <c r="B253" t="s">
        <v>2</v>
      </c>
      <c r="C253" s="1" t="s">
        <v>90</v>
      </c>
      <c r="D253" t="s">
        <v>132</v>
      </c>
      <c r="E253" t="s">
        <v>32</v>
      </c>
      <c r="F253" t="s">
        <v>82</v>
      </c>
      <c r="G253">
        <v>6</v>
      </c>
      <c r="H253" t="str" cm="1">
        <f t="array" ref="H253">INDEX(_xlfn.TEXTSPLIT(INDEX(_xlfn.TEXTSPLIT(C253, "/"), 5), "."), 1)</f>
        <v>acspolymersau</v>
      </c>
      <c r="I253" t="str" cm="1">
        <f t="array" ref="I253">IF(E253="Abstract","a",LOWER(_xlfn.CONCAT(LEFT(INDEX(_xlfn.TEXTSPLIT(E253," "),1),1),INDEX(_xlfn.TEXTSPLIT(E253," "),2))))</f>
        <v>f6</v>
      </c>
    </row>
    <row r="254" spans="1:9" x14ac:dyDescent="0.2">
      <c r="A254" t="str">
        <f t="shared" si="3"/>
        <v>acspolymersau/2c00045_s1</v>
      </c>
      <c r="B254" t="s">
        <v>2</v>
      </c>
      <c r="C254" s="1" t="s">
        <v>90</v>
      </c>
      <c r="D254" t="s">
        <v>132</v>
      </c>
      <c r="E254" t="s">
        <v>40</v>
      </c>
      <c r="F254" t="s">
        <v>82</v>
      </c>
      <c r="G254">
        <v>9</v>
      </c>
      <c r="H254" t="str" cm="1">
        <f t="array" ref="H254">INDEX(_xlfn.TEXTSPLIT(INDEX(_xlfn.TEXTSPLIT(C254, "/"), 5), "."), 1)</f>
        <v>acspolymersau</v>
      </c>
      <c r="I254" t="str" cm="1">
        <f t="array" ref="I254">IF(E254="Abstract","a",LOWER(_xlfn.CONCAT(LEFT(INDEX(_xlfn.TEXTSPLIT(E254," "),1),1),INDEX(_xlfn.TEXTSPLIT(E254," "),2))))</f>
        <v>s1</v>
      </c>
    </row>
    <row r="255" spans="1:9" x14ac:dyDescent="0.2">
      <c r="A255" t="str">
        <f t="shared" si="3"/>
        <v>acspolymersau/2c00045_si_fs3</v>
      </c>
      <c r="B255" t="s">
        <v>2</v>
      </c>
      <c r="C255" s="1" t="s">
        <v>90</v>
      </c>
      <c r="D255" t="s">
        <v>46</v>
      </c>
      <c r="E255" t="s">
        <v>138</v>
      </c>
      <c r="F255" t="s">
        <v>85</v>
      </c>
      <c r="G255">
        <v>1</v>
      </c>
      <c r="H255" t="str" cm="1">
        <f t="array" ref="H255">INDEX(_xlfn.TEXTSPLIT(INDEX(_xlfn.TEXTSPLIT(C255, "/"), 5), "."), 1)</f>
        <v>acspolymersau</v>
      </c>
      <c r="I255" t="str" cm="1">
        <f t="array" ref="I255">IF(E255="Abstract","a",LOWER(_xlfn.CONCAT(LEFT(INDEX(_xlfn.TEXTSPLIT(E255," "),1),1),INDEX(_xlfn.TEXTSPLIT(E255," "),2))))</f>
        <v>fs3</v>
      </c>
    </row>
    <row r="256" spans="1:9" x14ac:dyDescent="0.2">
      <c r="A256" t="str">
        <f t="shared" si="3"/>
        <v>acspolymersau/2c00045_si_fs4</v>
      </c>
      <c r="B256" t="s">
        <v>2</v>
      </c>
      <c r="C256" s="1" t="s">
        <v>90</v>
      </c>
      <c r="D256" t="s">
        <v>46</v>
      </c>
      <c r="E256" t="s">
        <v>139</v>
      </c>
      <c r="F256" t="s">
        <v>85</v>
      </c>
      <c r="G256">
        <v>2</v>
      </c>
      <c r="H256" t="str" cm="1">
        <f t="array" ref="H256">INDEX(_xlfn.TEXTSPLIT(INDEX(_xlfn.TEXTSPLIT(C256, "/"), 5), "."), 1)</f>
        <v>acspolymersau</v>
      </c>
      <c r="I256" t="str" cm="1">
        <f t="array" ref="I256">IF(E256="Abstract","a",LOWER(_xlfn.CONCAT(LEFT(INDEX(_xlfn.TEXTSPLIT(E256," "),1),1),INDEX(_xlfn.TEXTSPLIT(E256," "),2))))</f>
        <v>fs4</v>
      </c>
    </row>
    <row r="257" spans="1:9" x14ac:dyDescent="0.2">
      <c r="A257" t="str">
        <f t="shared" si="3"/>
        <v>acspolymersau/2c00047_si_fs19</v>
      </c>
      <c r="B257" t="s">
        <v>2</v>
      </c>
      <c r="C257" s="1" t="s">
        <v>94</v>
      </c>
      <c r="D257" t="s">
        <v>46</v>
      </c>
      <c r="E257" t="s">
        <v>150</v>
      </c>
      <c r="F257" t="s">
        <v>85</v>
      </c>
      <c r="G257">
        <v>1</v>
      </c>
      <c r="H257" t="str" cm="1">
        <f t="array" ref="H257">INDEX(_xlfn.TEXTSPLIT(INDEX(_xlfn.TEXTSPLIT(C257, "/"), 5), "."), 1)</f>
        <v>acspolymersau</v>
      </c>
      <c r="I257" t="str" cm="1">
        <f t="array" ref="I257">IF(E257="Abstract","a",LOWER(_xlfn.CONCAT(LEFT(INDEX(_xlfn.TEXTSPLIT(E257," "),1),1),INDEX(_xlfn.TEXTSPLIT(E257," "),2))))</f>
        <v>fs19</v>
      </c>
    </row>
    <row r="258" spans="1:9" x14ac:dyDescent="0.2">
      <c r="A258" t="str">
        <f t="shared" ref="A258:A321" si="4">_xlfn.CONCAT(H258, "/",RIGHT(C258,7),"_",IF(D258="SI","si_",""), I258)</f>
        <v>acspolymersau/2c00047_si_fs2</v>
      </c>
      <c r="B258" t="s">
        <v>2</v>
      </c>
      <c r="C258" s="1" t="s">
        <v>94</v>
      </c>
      <c r="D258" t="s">
        <v>46</v>
      </c>
      <c r="E258" t="s">
        <v>134</v>
      </c>
      <c r="F258" t="s">
        <v>85</v>
      </c>
      <c r="G258">
        <v>3</v>
      </c>
      <c r="H258" t="str" cm="1">
        <f t="array" ref="H258">INDEX(_xlfn.TEXTSPLIT(INDEX(_xlfn.TEXTSPLIT(C258, "/"), 5), "."), 1)</f>
        <v>acspolymersau</v>
      </c>
      <c r="I258" t="str" cm="1">
        <f t="array" ref="I258">IF(E258="Abstract","a",LOWER(_xlfn.CONCAT(LEFT(INDEX(_xlfn.TEXTSPLIT(E258," "),1),1),INDEX(_xlfn.TEXTSPLIT(E258," "),2))))</f>
        <v>fs2</v>
      </c>
    </row>
    <row r="259" spans="1:9" x14ac:dyDescent="0.2">
      <c r="A259" t="str">
        <f t="shared" si="4"/>
        <v>acspolymersau/2c00051_s1</v>
      </c>
      <c r="B259" t="s">
        <v>2</v>
      </c>
      <c r="C259" s="1" t="s">
        <v>95</v>
      </c>
      <c r="D259" t="s">
        <v>132</v>
      </c>
      <c r="E259" t="s">
        <v>40</v>
      </c>
      <c r="F259" t="s">
        <v>82</v>
      </c>
      <c r="G259">
        <v>2</v>
      </c>
      <c r="H259" t="str" cm="1">
        <f t="array" ref="H259">INDEX(_xlfn.TEXTSPLIT(INDEX(_xlfn.TEXTSPLIT(C259, "/"), 5), "."), 1)</f>
        <v>acspolymersau</v>
      </c>
      <c r="I259" t="str" cm="1">
        <f t="array" ref="I259">IF(E259="Abstract","a",LOWER(_xlfn.CONCAT(LEFT(INDEX(_xlfn.TEXTSPLIT(E259," "),1),1),INDEX(_xlfn.TEXTSPLIT(E259," "),2))))</f>
        <v>s1</v>
      </c>
    </row>
    <row r="260" spans="1:9" x14ac:dyDescent="0.2">
      <c r="A260" t="str">
        <f t="shared" si="4"/>
        <v>acspolymersau/2c00060_f2</v>
      </c>
      <c r="B260" t="s">
        <v>2</v>
      </c>
      <c r="C260" s="1" t="s">
        <v>96</v>
      </c>
      <c r="D260" t="s">
        <v>132</v>
      </c>
      <c r="E260" t="s">
        <v>37</v>
      </c>
      <c r="F260" t="s">
        <v>81</v>
      </c>
      <c r="G260">
        <v>1</v>
      </c>
      <c r="H260" t="str" cm="1">
        <f t="array" ref="H260">INDEX(_xlfn.TEXTSPLIT(INDEX(_xlfn.TEXTSPLIT(C260, "/"), 5), "."), 1)</f>
        <v>acspolymersau</v>
      </c>
      <c r="I260" t="str" cm="1">
        <f t="array" ref="I260">IF(E260="Abstract","a",LOWER(_xlfn.CONCAT(LEFT(INDEX(_xlfn.TEXTSPLIT(E260," "),1),1),INDEX(_xlfn.TEXTSPLIT(E260," "),2))))</f>
        <v>f2</v>
      </c>
    </row>
    <row r="261" spans="1:9" x14ac:dyDescent="0.2">
      <c r="A261" t="str">
        <f t="shared" si="4"/>
        <v>acspolymersau/2c00060_f3</v>
      </c>
      <c r="B261" t="s">
        <v>2</v>
      </c>
      <c r="C261" s="1" t="s">
        <v>96</v>
      </c>
      <c r="D261" t="s">
        <v>132</v>
      </c>
      <c r="E261" t="s">
        <v>69</v>
      </c>
      <c r="F261" t="s">
        <v>81</v>
      </c>
      <c r="G261">
        <v>8</v>
      </c>
      <c r="H261" t="str" cm="1">
        <f t="array" ref="H261">INDEX(_xlfn.TEXTSPLIT(INDEX(_xlfn.TEXTSPLIT(C261, "/"), 5), "."), 1)</f>
        <v>acspolymersau</v>
      </c>
      <c r="I261" t="str" cm="1">
        <f t="array" ref="I261">IF(E261="Abstract","a",LOWER(_xlfn.CONCAT(LEFT(INDEX(_xlfn.TEXTSPLIT(E261," "),1),1),INDEX(_xlfn.TEXTSPLIT(E261," "),2))))</f>
        <v>f3</v>
      </c>
    </row>
    <row r="262" spans="1:9" x14ac:dyDescent="0.2">
      <c r="A262" t="str">
        <f t="shared" si="4"/>
        <v>acspolymersau/2c00060_f5</v>
      </c>
      <c r="B262" t="s">
        <v>2</v>
      </c>
      <c r="C262" s="1" t="s">
        <v>96</v>
      </c>
      <c r="D262" t="s">
        <v>132</v>
      </c>
      <c r="E262" t="s">
        <v>31</v>
      </c>
      <c r="F262" t="s">
        <v>81</v>
      </c>
      <c r="G262">
        <v>1</v>
      </c>
      <c r="H262" t="str" cm="1">
        <f t="array" ref="H262">INDEX(_xlfn.TEXTSPLIT(INDEX(_xlfn.TEXTSPLIT(C262, "/"), 5), "."), 1)</f>
        <v>acspolymersau</v>
      </c>
      <c r="I262" t="str" cm="1">
        <f t="array" ref="I262">IF(E262="Abstract","a",LOWER(_xlfn.CONCAT(LEFT(INDEX(_xlfn.TEXTSPLIT(E262," "),1),1),INDEX(_xlfn.TEXTSPLIT(E262," "),2))))</f>
        <v>f5</v>
      </c>
    </row>
    <row r="263" spans="1:9" x14ac:dyDescent="0.2">
      <c r="A263" t="str">
        <f t="shared" si="4"/>
        <v>acspolymersau/2c00060_si_ps6</v>
      </c>
      <c r="B263" t="s">
        <v>2</v>
      </c>
      <c r="C263" s="1" t="s">
        <v>96</v>
      </c>
      <c r="D263" t="s">
        <v>46</v>
      </c>
      <c r="E263" t="s">
        <v>160</v>
      </c>
      <c r="F263" t="s">
        <v>85</v>
      </c>
      <c r="G263">
        <v>1</v>
      </c>
      <c r="H263" t="str" cm="1">
        <f t="array" ref="H263">INDEX(_xlfn.TEXTSPLIT(INDEX(_xlfn.TEXTSPLIT(C263, "/"), 5), "."), 1)</f>
        <v>acspolymersau</v>
      </c>
      <c r="I263" t="str" cm="1">
        <f t="array" ref="I263">IF(E263="Abstract","a",LOWER(_xlfn.CONCAT(LEFT(INDEX(_xlfn.TEXTSPLIT(E263," "),1),1),INDEX(_xlfn.TEXTSPLIT(E263," "),2))))</f>
        <v>ps6</v>
      </c>
    </row>
    <row r="264" spans="1:9" x14ac:dyDescent="0.2">
      <c r="A264" t="str">
        <f t="shared" si="4"/>
        <v>acspolymersau/2c00066_f1</v>
      </c>
      <c r="B264" t="s">
        <v>2</v>
      </c>
      <c r="C264" s="1" t="s">
        <v>97</v>
      </c>
      <c r="D264" t="s">
        <v>132</v>
      </c>
      <c r="E264" t="s">
        <v>36</v>
      </c>
      <c r="F264" t="s">
        <v>81</v>
      </c>
      <c r="G264">
        <v>1</v>
      </c>
      <c r="H264" t="str" cm="1">
        <f t="array" ref="H264">INDEX(_xlfn.TEXTSPLIT(INDEX(_xlfn.TEXTSPLIT(C264, "/"), 5), "."), 1)</f>
        <v>acspolymersau</v>
      </c>
      <c r="I264" t="str" cm="1">
        <f t="array" ref="I264">IF(E264="Abstract","a",LOWER(_xlfn.CONCAT(LEFT(INDEX(_xlfn.TEXTSPLIT(E264," "),1),1),INDEX(_xlfn.TEXTSPLIT(E264," "),2))))</f>
        <v>f1</v>
      </c>
    </row>
    <row r="265" spans="1:9" x14ac:dyDescent="0.2">
      <c r="A265" t="str">
        <f t="shared" si="4"/>
        <v>acspolymersau/2c00066_si_fs1</v>
      </c>
      <c r="B265" t="s">
        <v>2</v>
      </c>
      <c r="C265" s="1" t="s">
        <v>97</v>
      </c>
      <c r="D265" t="s">
        <v>46</v>
      </c>
      <c r="E265" t="s">
        <v>154</v>
      </c>
      <c r="F265" t="s">
        <v>85</v>
      </c>
      <c r="G265">
        <v>2</v>
      </c>
      <c r="H265" t="str" cm="1">
        <f t="array" ref="H265">INDEX(_xlfn.TEXTSPLIT(INDEX(_xlfn.TEXTSPLIT(C265, "/"), 5), "."), 1)</f>
        <v>acspolymersau</v>
      </c>
      <c r="I265" t="str" cm="1">
        <f t="array" ref="I265">IF(E265="Abstract","a",LOWER(_xlfn.CONCAT(LEFT(INDEX(_xlfn.TEXTSPLIT(E265," "),1),1),INDEX(_xlfn.TEXTSPLIT(E265," "),2))))</f>
        <v>fs1</v>
      </c>
    </row>
    <row r="266" spans="1:9" x14ac:dyDescent="0.2">
      <c r="A266" t="str">
        <f t="shared" si="4"/>
        <v>acspolymersau/2c00068_si_fs1</v>
      </c>
      <c r="B266" t="s">
        <v>2</v>
      </c>
      <c r="C266" s="1" t="s">
        <v>100</v>
      </c>
      <c r="D266" t="s">
        <v>46</v>
      </c>
      <c r="E266" t="s">
        <v>154</v>
      </c>
      <c r="F266" t="s">
        <v>85</v>
      </c>
      <c r="G266">
        <v>3</v>
      </c>
      <c r="H266" t="str" cm="1">
        <f t="array" ref="H266">INDEX(_xlfn.TEXTSPLIT(INDEX(_xlfn.TEXTSPLIT(C266, "/"), 5), "."), 1)</f>
        <v>acspolymersau</v>
      </c>
      <c r="I266" t="str" cm="1">
        <f t="array" ref="I266">IF(E266="Abstract","a",LOWER(_xlfn.CONCAT(LEFT(INDEX(_xlfn.TEXTSPLIT(E266," "),1),1),INDEX(_xlfn.TEXTSPLIT(E266," "),2))))</f>
        <v>fs1</v>
      </c>
    </row>
    <row r="267" spans="1:9" x14ac:dyDescent="0.2">
      <c r="A267" t="str">
        <f t="shared" si="4"/>
        <v>acspolymersau/2c00068_si_fs2</v>
      </c>
      <c r="B267" t="s">
        <v>2</v>
      </c>
      <c r="C267" s="1" t="s">
        <v>100</v>
      </c>
      <c r="D267" t="s">
        <v>46</v>
      </c>
      <c r="E267" t="s">
        <v>134</v>
      </c>
      <c r="F267" t="s">
        <v>85</v>
      </c>
      <c r="G267">
        <v>3</v>
      </c>
      <c r="H267" t="str" cm="1">
        <f t="array" ref="H267">INDEX(_xlfn.TEXTSPLIT(INDEX(_xlfn.TEXTSPLIT(C267, "/"), 5), "."), 1)</f>
        <v>acspolymersau</v>
      </c>
      <c r="I267" t="str" cm="1">
        <f t="array" ref="I267">IF(E267="Abstract","a",LOWER(_xlfn.CONCAT(LEFT(INDEX(_xlfn.TEXTSPLIT(E267," "),1),1),INDEX(_xlfn.TEXTSPLIT(E267," "),2))))</f>
        <v>fs2</v>
      </c>
    </row>
    <row r="268" spans="1:9" x14ac:dyDescent="0.2">
      <c r="A268" t="str">
        <f t="shared" si="4"/>
        <v>acspolymersau/2c00068_si_fs3</v>
      </c>
      <c r="B268" t="s">
        <v>2</v>
      </c>
      <c r="C268" s="1" t="s">
        <v>100</v>
      </c>
      <c r="D268" t="s">
        <v>46</v>
      </c>
      <c r="E268" t="s">
        <v>138</v>
      </c>
      <c r="F268" t="s">
        <v>85</v>
      </c>
      <c r="G268">
        <v>2</v>
      </c>
      <c r="H268" t="str" cm="1">
        <f t="array" ref="H268">INDEX(_xlfn.TEXTSPLIT(INDEX(_xlfn.TEXTSPLIT(C268, "/"), 5), "."), 1)</f>
        <v>acspolymersau</v>
      </c>
      <c r="I268" t="str" cm="1">
        <f t="array" ref="I268">IF(E268="Abstract","a",LOWER(_xlfn.CONCAT(LEFT(INDEX(_xlfn.TEXTSPLIT(E268," "),1),1),INDEX(_xlfn.TEXTSPLIT(E268," "),2))))</f>
        <v>fs3</v>
      </c>
    </row>
    <row r="269" spans="1:9" x14ac:dyDescent="0.2">
      <c r="A269" t="str">
        <f t="shared" si="4"/>
        <v>acspolymersau/2c00069_f1</v>
      </c>
      <c r="B269" t="s">
        <v>2</v>
      </c>
      <c r="C269" s="1" t="s">
        <v>98</v>
      </c>
      <c r="D269" t="s">
        <v>132</v>
      </c>
      <c r="E269" t="s">
        <v>36</v>
      </c>
      <c r="F269" t="s">
        <v>81</v>
      </c>
      <c r="G269">
        <v>1</v>
      </c>
      <c r="H269" t="str" cm="1">
        <f t="array" ref="H269">INDEX(_xlfn.TEXTSPLIT(INDEX(_xlfn.TEXTSPLIT(C269, "/"), 5), "."), 1)</f>
        <v>acspolymersau</v>
      </c>
      <c r="I269" t="str" cm="1">
        <f t="array" ref="I269">IF(E269="Abstract","a",LOWER(_xlfn.CONCAT(LEFT(INDEX(_xlfn.TEXTSPLIT(E269," "),1),1),INDEX(_xlfn.TEXTSPLIT(E269," "),2))))</f>
        <v>f1</v>
      </c>
    </row>
    <row r="270" spans="1:9" x14ac:dyDescent="0.2">
      <c r="A270" t="str">
        <f t="shared" si="4"/>
        <v>acspolymersau/3c00003_f1</v>
      </c>
      <c r="B270" t="s">
        <v>2</v>
      </c>
      <c r="C270" s="1" t="s">
        <v>99</v>
      </c>
      <c r="D270" t="s">
        <v>132</v>
      </c>
      <c r="E270" t="s">
        <v>36</v>
      </c>
      <c r="F270" t="s">
        <v>81</v>
      </c>
      <c r="G270">
        <v>5</v>
      </c>
      <c r="H270" t="str" cm="1">
        <f t="array" ref="H270">INDEX(_xlfn.TEXTSPLIT(INDEX(_xlfn.TEXTSPLIT(C270, "/"), 5), "."), 1)</f>
        <v>acspolymersau</v>
      </c>
      <c r="I270" t="str" cm="1">
        <f t="array" ref="I270">IF(E270="Abstract","a",LOWER(_xlfn.CONCAT(LEFT(INDEX(_xlfn.TEXTSPLIT(E270," "),1),1),INDEX(_xlfn.TEXTSPLIT(E270," "),2))))</f>
        <v>f1</v>
      </c>
    </row>
    <row r="271" spans="1:9" x14ac:dyDescent="0.2">
      <c r="A271" t="str">
        <f t="shared" si="4"/>
        <v>acspolymersau/3c00003_f2</v>
      </c>
      <c r="B271" t="s">
        <v>2</v>
      </c>
      <c r="C271" s="1" t="s">
        <v>99</v>
      </c>
      <c r="D271" t="s">
        <v>132</v>
      </c>
      <c r="E271" t="s">
        <v>37</v>
      </c>
      <c r="F271" t="s">
        <v>81</v>
      </c>
      <c r="G271">
        <v>12</v>
      </c>
      <c r="H271" t="str" cm="1">
        <f t="array" ref="H271">INDEX(_xlfn.TEXTSPLIT(INDEX(_xlfn.TEXTSPLIT(C271, "/"), 5), "."), 1)</f>
        <v>acspolymersau</v>
      </c>
      <c r="I271" t="str" cm="1">
        <f t="array" ref="I271">IF(E271="Abstract","a",LOWER(_xlfn.CONCAT(LEFT(INDEX(_xlfn.TEXTSPLIT(E271," "),1),1),INDEX(_xlfn.TEXTSPLIT(E271," "),2))))</f>
        <v>f2</v>
      </c>
    </row>
    <row r="272" spans="1:9" x14ac:dyDescent="0.2">
      <c r="A272" t="str">
        <f t="shared" si="4"/>
        <v>acspolymersau/3c00003_f6</v>
      </c>
      <c r="B272" t="s">
        <v>2</v>
      </c>
      <c r="C272" s="1" t="s">
        <v>99</v>
      </c>
      <c r="D272" t="s">
        <v>132</v>
      </c>
      <c r="E272" t="s">
        <v>32</v>
      </c>
      <c r="F272" t="s">
        <v>81</v>
      </c>
      <c r="G272">
        <v>4</v>
      </c>
      <c r="H272" t="str" cm="1">
        <f t="array" ref="H272">INDEX(_xlfn.TEXTSPLIT(INDEX(_xlfn.TEXTSPLIT(C272, "/"), 5), "."), 1)</f>
        <v>acspolymersau</v>
      </c>
      <c r="I272" t="str" cm="1">
        <f t="array" ref="I272">IF(E272="Abstract","a",LOWER(_xlfn.CONCAT(LEFT(INDEX(_xlfn.TEXTSPLIT(E272," "),1),1),INDEX(_xlfn.TEXTSPLIT(E272," "),2))))</f>
        <v>f6</v>
      </c>
    </row>
    <row r="273" spans="1:9" x14ac:dyDescent="0.2">
      <c r="A273" t="str">
        <f t="shared" si="4"/>
        <v>acspolymersau/3c00003_f8</v>
      </c>
      <c r="B273" t="s">
        <v>2</v>
      </c>
      <c r="C273" s="1" t="s">
        <v>99</v>
      </c>
      <c r="D273" t="s">
        <v>132</v>
      </c>
      <c r="E273" t="s">
        <v>72</v>
      </c>
      <c r="F273" t="s">
        <v>81</v>
      </c>
      <c r="G273">
        <v>4</v>
      </c>
      <c r="H273" t="str" cm="1">
        <f t="array" ref="H273">INDEX(_xlfn.TEXTSPLIT(INDEX(_xlfn.TEXTSPLIT(C273, "/"), 5), "."), 1)</f>
        <v>acspolymersau</v>
      </c>
      <c r="I273" t="str" cm="1">
        <f t="array" ref="I273">IF(E273="Abstract","a",LOWER(_xlfn.CONCAT(LEFT(INDEX(_xlfn.TEXTSPLIT(E273," "),1),1),INDEX(_xlfn.TEXTSPLIT(E273," "),2))))</f>
        <v>f8</v>
      </c>
    </row>
    <row r="274" spans="1:9" x14ac:dyDescent="0.2">
      <c r="A274" t="str">
        <f t="shared" si="4"/>
        <v>acspolymersau/3c00004_f1</v>
      </c>
      <c r="B274" t="s">
        <v>2</v>
      </c>
      <c r="C274" s="1" t="s">
        <v>102</v>
      </c>
      <c r="D274" t="s">
        <v>132</v>
      </c>
      <c r="E274" t="s">
        <v>36</v>
      </c>
      <c r="F274" t="s">
        <v>81</v>
      </c>
      <c r="G274">
        <v>2</v>
      </c>
      <c r="H274" t="str" cm="1">
        <f t="array" ref="H274">INDEX(_xlfn.TEXTSPLIT(INDEX(_xlfn.TEXTSPLIT(C274, "/"), 5), "."), 1)</f>
        <v>acspolymersau</v>
      </c>
      <c r="I274" t="str" cm="1">
        <f t="array" ref="I274">IF(E274="Abstract","a",LOWER(_xlfn.CONCAT(LEFT(INDEX(_xlfn.TEXTSPLIT(E274," "),1),1),INDEX(_xlfn.TEXTSPLIT(E274," "),2))))</f>
        <v>f1</v>
      </c>
    </row>
    <row r="275" spans="1:9" x14ac:dyDescent="0.2">
      <c r="A275" t="str">
        <f t="shared" si="4"/>
        <v>acspolymersau/3c00004_f3</v>
      </c>
      <c r="B275" t="s">
        <v>2</v>
      </c>
      <c r="C275" s="1" t="s">
        <v>102</v>
      </c>
      <c r="D275" t="s">
        <v>132</v>
      </c>
      <c r="E275" t="s">
        <v>69</v>
      </c>
      <c r="F275" t="s">
        <v>81</v>
      </c>
      <c r="G275">
        <v>1</v>
      </c>
      <c r="H275" t="str" cm="1">
        <f t="array" ref="H275">INDEX(_xlfn.TEXTSPLIT(INDEX(_xlfn.TEXTSPLIT(C275, "/"), 5), "."), 1)</f>
        <v>acspolymersau</v>
      </c>
      <c r="I275" t="str" cm="1">
        <f t="array" ref="I275">IF(E275="Abstract","a",LOWER(_xlfn.CONCAT(LEFT(INDEX(_xlfn.TEXTSPLIT(E275," "),1),1),INDEX(_xlfn.TEXTSPLIT(E275," "),2))))</f>
        <v>f3</v>
      </c>
    </row>
    <row r="276" spans="1:9" x14ac:dyDescent="0.2">
      <c r="A276" t="str">
        <f t="shared" si="4"/>
        <v>acspolymersau/3c00004_f4</v>
      </c>
      <c r="B276" t="s">
        <v>2</v>
      </c>
      <c r="C276" s="1" t="s">
        <v>102</v>
      </c>
      <c r="D276" t="s">
        <v>132</v>
      </c>
      <c r="E276" t="s">
        <v>34</v>
      </c>
      <c r="F276" t="s">
        <v>81</v>
      </c>
      <c r="G276">
        <v>2</v>
      </c>
      <c r="H276" t="str" cm="1">
        <f t="array" ref="H276">INDEX(_xlfn.TEXTSPLIT(INDEX(_xlfn.TEXTSPLIT(C276, "/"), 5), "."), 1)</f>
        <v>acspolymersau</v>
      </c>
      <c r="I276" t="str" cm="1">
        <f t="array" ref="I276">IF(E276="Abstract","a",LOWER(_xlfn.CONCAT(LEFT(INDEX(_xlfn.TEXTSPLIT(E276," "),1),1),INDEX(_xlfn.TEXTSPLIT(E276," "),2))))</f>
        <v>f4</v>
      </c>
    </row>
    <row r="277" spans="1:9" x14ac:dyDescent="0.2">
      <c r="A277" t="str">
        <f t="shared" si="4"/>
        <v>acspolymersau/3c00004_s1</v>
      </c>
      <c r="B277" t="s">
        <v>2</v>
      </c>
      <c r="C277" s="1" t="s">
        <v>102</v>
      </c>
      <c r="D277" t="s">
        <v>132</v>
      </c>
      <c r="E277" t="s">
        <v>40</v>
      </c>
      <c r="F277" t="s">
        <v>81</v>
      </c>
      <c r="G277">
        <v>1</v>
      </c>
      <c r="H277" t="str" cm="1">
        <f t="array" ref="H277">INDEX(_xlfn.TEXTSPLIT(INDEX(_xlfn.TEXTSPLIT(C277, "/"), 5), "."), 1)</f>
        <v>acspolymersau</v>
      </c>
      <c r="I277" t="str" cm="1">
        <f t="array" ref="I277">IF(E277="Abstract","a",LOWER(_xlfn.CONCAT(LEFT(INDEX(_xlfn.TEXTSPLIT(E277," "),1),1),INDEX(_xlfn.TEXTSPLIT(E277," "),2))))</f>
        <v>s1</v>
      </c>
    </row>
    <row r="278" spans="1:9" x14ac:dyDescent="0.2">
      <c r="A278" t="str">
        <f t="shared" si="4"/>
        <v>acspolymersau/3c00006_a</v>
      </c>
      <c r="B278" t="s">
        <v>2</v>
      </c>
      <c r="C278" s="1" t="s">
        <v>101</v>
      </c>
      <c r="D278" t="s">
        <v>132</v>
      </c>
      <c r="E278" t="s">
        <v>49</v>
      </c>
      <c r="F278" t="s">
        <v>81</v>
      </c>
      <c r="G278">
        <v>1</v>
      </c>
      <c r="H278" t="str" cm="1">
        <f t="array" ref="H278">INDEX(_xlfn.TEXTSPLIT(INDEX(_xlfn.TEXTSPLIT(C278, "/"), 5), "."), 1)</f>
        <v>acspolymersau</v>
      </c>
      <c r="I278" t="str" cm="1">
        <f t="array" ref="I278">IF(E278="Abstract","a",LOWER(_xlfn.CONCAT(LEFT(INDEX(_xlfn.TEXTSPLIT(E278," "),1),1),INDEX(_xlfn.TEXTSPLIT(E278," "),2))))</f>
        <v>a</v>
      </c>
    </row>
    <row r="279" spans="1:9" x14ac:dyDescent="0.2">
      <c r="A279" t="str">
        <f t="shared" si="4"/>
        <v>acspolymersau/3c00010_f2</v>
      </c>
      <c r="B279" t="s">
        <v>2</v>
      </c>
      <c r="C279" s="1" t="s">
        <v>104</v>
      </c>
      <c r="D279" t="s">
        <v>132</v>
      </c>
      <c r="E279" t="s">
        <v>37</v>
      </c>
      <c r="F279" t="s">
        <v>81</v>
      </c>
      <c r="G279">
        <v>1</v>
      </c>
      <c r="H279" t="str" cm="1">
        <f t="array" ref="H279">INDEX(_xlfn.TEXTSPLIT(INDEX(_xlfn.TEXTSPLIT(C279, "/"), 5), "."), 1)</f>
        <v>acspolymersau</v>
      </c>
      <c r="I279" t="str" cm="1">
        <f t="array" ref="I279">IF(E279="Abstract","a",LOWER(_xlfn.CONCAT(LEFT(INDEX(_xlfn.TEXTSPLIT(E279," "),1),1),INDEX(_xlfn.TEXTSPLIT(E279," "),2))))</f>
        <v>f2</v>
      </c>
    </row>
    <row r="280" spans="1:9" x14ac:dyDescent="0.2">
      <c r="A280" t="str">
        <f t="shared" si="4"/>
        <v>acspolymersau/3c00010_f3</v>
      </c>
      <c r="B280" t="s">
        <v>2</v>
      </c>
      <c r="C280" s="1" t="s">
        <v>104</v>
      </c>
      <c r="D280" t="s">
        <v>132</v>
      </c>
      <c r="E280" t="s">
        <v>69</v>
      </c>
      <c r="F280" t="s">
        <v>81</v>
      </c>
      <c r="G280">
        <v>2</v>
      </c>
      <c r="H280" t="str" cm="1">
        <f t="array" ref="H280">INDEX(_xlfn.TEXTSPLIT(INDEX(_xlfn.TEXTSPLIT(C280, "/"), 5), "."), 1)</f>
        <v>acspolymersau</v>
      </c>
      <c r="I280" t="str" cm="1">
        <f t="array" ref="I280">IF(E280="Abstract","a",LOWER(_xlfn.CONCAT(LEFT(INDEX(_xlfn.TEXTSPLIT(E280," "),1),1),INDEX(_xlfn.TEXTSPLIT(E280," "),2))))</f>
        <v>f3</v>
      </c>
    </row>
    <row r="281" spans="1:9" x14ac:dyDescent="0.2">
      <c r="A281" t="str">
        <f t="shared" si="4"/>
        <v>acspolymersau/3c00011_f4</v>
      </c>
      <c r="B281" t="s">
        <v>2</v>
      </c>
      <c r="C281" s="1" t="s">
        <v>103</v>
      </c>
      <c r="D281" t="s">
        <v>132</v>
      </c>
      <c r="E281" t="s">
        <v>34</v>
      </c>
      <c r="F281" t="s">
        <v>81</v>
      </c>
      <c r="G281">
        <v>3</v>
      </c>
      <c r="H281" t="str" cm="1">
        <f t="array" ref="H281">INDEX(_xlfn.TEXTSPLIT(INDEX(_xlfn.TEXTSPLIT(C281, "/"), 5), "."), 1)</f>
        <v>acspolymersau</v>
      </c>
      <c r="I281" t="str" cm="1">
        <f t="array" ref="I281">IF(E281="Abstract","a",LOWER(_xlfn.CONCAT(LEFT(INDEX(_xlfn.TEXTSPLIT(E281," "),1),1),INDEX(_xlfn.TEXTSPLIT(E281," "),2))))</f>
        <v>f4</v>
      </c>
    </row>
    <row r="282" spans="1:9" x14ac:dyDescent="0.2">
      <c r="A282" t="str">
        <f t="shared" si="4"/>
        <v>acspolymersau/3c00011_s1</v>
      </c>
      <c r="B282" t="s">
        <v>2</v>
      </c>
      <c r="C282" s="1" t="s">
        <v>103</v>
      </c>
      <c r="D282" t="s">
        <v>132</v>
      </c>
      <c r="E282" t="s">
        <v>40</v>
      </c>
      <c r="F282" t="s">
        <v>81</v>
      </c>
      <c r="G282">
        <v>3</v>
      </c>
      <c r="H282" t="str" cm="1">
        <f t="array" ref="H282">INDEX(_xlfn.TEXTSPLIT(INDEX(_xlfn.TEXTSPLIT(C282, "/"), 5), "."), 1)</f>
        <v>acspolymersau</v>
      </c>
      <c r="I282" t="str" cm="1">
        <f t="array" ref="I282">IF(E282="Abstract","a",LOWER(_xlfn.CONCAT(LEFT(INDEX(_xlfn.TEXTSPLIT(E282," "),1),1),INDEX(_xlfn.TEXTSPLIT(E282," "),2))))</f>
        <v>s1</v>
      </c>
    </row>
    <row r="283" spans="1:9" x14ac:dyDescent="0.2">
      <c r="A283" t="str">
        <f t="shared" si="4"/>
        <v>acspolymersau/3c00011_si_ps4</v>
      </c>
      <c r="B283" t="s">
        <v>2</v>
      </c>
      <c r="C283" s="1" t="s">
        <v>103</v>
      </c>
      <c r="D283" t="s">
        <v>46</v>
      </c>
      <c r="E283" t="s">
        <v>165</v>
      </c>
      <c r="F283" t="s">
        <v>85</v>
      </c>
      <c r="G283">
        <v>1</v>
      </c>
      <c r="H283" t="str" cm="1">
        <f t="array" ref="H283">INDEX(_xlfn.TEXTSPLIT(INDEX(_xlfn.TEXTSPLIT(C283, "/"), 5), "."), 1)</f>
        <v>acspolymersau</v>
      </c>
      <c r="I283" t="str" cm="1">
        <f t="array" ref="I283">IF(E283="Abstract","a",LOWER(_xlfn.CONCAT(LEFT(INDEX(_xlfn.TEXTSPLIT(E283," "),1),1),INDEX(_xlfn.TEXTSPLIT(E283," "),2))))</f>
        <v>ps4</v>
      </c>
    </row>
    <row r="284" spans="1:9" x14ac:dyDescent="0.2">
      <c r="A284" t="str">
        <f t="shared" si="4"/>
        <v>acspolymersau/3c00011_si_ps5</v>
      </c>
      <c r="B284" t="s">
        <v>2</v>
      </c>
      <c r="C284" s="1" t="s">
        <v>103</v>
      </c>
      <c r="D284" t="s">
        <v>46</v>
      </c>
      <c r="E284" t="s">
        <v>159</v>
      </c>
      <c r="F284" t="s">
        <v>85</v>
      </c>
      <c r="G284">
        <v>2</v>
      </c>
      <c r="H284" t="str" cm="1">
        <f t="array" ref="H284">INDEX(_xlfn.TEXTSPLIT(INDEX(_xlfn.TEXTSPLIT(C284, "/"), 5), "."), 1)</f>
        <v>acspolymersau</v>
      </c>
      <c r="I284" t="str" cm="1">
        <f t="array" ref="I284">IF(E284="Abstract","a",LOWER(_xlfn.CONCAT(LEFT(INDEX(_xlfn.TEXTSPLIT(E284," "),1),1),INDEX(_xlfn.TEXTSPLIT(E284," "),2))))</f>
        <v>ps5</v>
      </c>
    </row>
    <row r="285" spans="1:9" x14ac:dyDescent="0.2">
      <c r="A285" t="str">
        <f t="shared" si="4"/>
        <v>acspolymersau/3c00011_si_ps6</v>
      </c>
      <c r="B285" t="s">
        <v>2</v>
      </c>
      <c r="C285" s="1" t="s">
        <v>103</v>
      </c>
      <c r="D285" t="s">
        <v>46</v>
      </c>
      <c r="E285" t="s">
        <v>160</v>
      </c>
      <c r="F285" t="s">
        <v>85</v>
      </c>
      <c r="G285">
        <v>2</v>
      </c>
      <c r="H285" t="str" cm="1">
        <f t="array" ref="H285">INDEX(_xlfn.TEXTSPLIT(INDEX(_xlfn.TEXTSPLIT(C285, "/"), 5), "."), 1)</f>
        <v>acspolymersau</v>
      </c>
      <c r="I285" t="str" cm="1">
        <f t="array" ref="I285">IF(E285="Abstract","a",LOWER(_xlfn.CONCAT(LEFT(INDEX(_xlfn.TEXTSPLIT(E285," "),1),1),INDEX(_xlfn.TEXTSPLIT(E285," "),2))))</f>
        <v>ps6</v>
      </c>
    </row>
    <row r="286" spans="1:9" x14ac:dyDescent="0.2">
      <c r="A286" t="str">
        <f t="shared" si="4"/>
        <v>acspolymersau/3c00012_f2</v>
      </c>
      <c r="B286" t="s">
        <v>2</v>
      </c>
      <c r="C286" s="1" t="s">
        <v>19</v>
      </c>
      <c r="D286" t="s">
        <v>132</v>
      </c>
      <c r="E286" t="s">
        <v>37</v>
      </c>
      <c r="F286" t="s">
        <v>81</v>
      </c>
      <c r="G286">
        <v>3</v>
      </c>
      <c r="H286" t="str" cm="1">
        <f t="array" ref="H286">INDEX(_xlfn.TEXTSPLIT(INDEX(_xlfn.TEXTSPLIT(C286, "/"), 5), "."), 1)</f>
        <v>acspolymersau</v>
      </c>
      <c r="I286" t="str" cm="1">
        <f t="array" ref="I286">IF(E286="Abstract","a",LOWER(_xlfn.CONCAT(LEFT(INDEX(_xlfn.TEXTSPLIT(E286," "),1),1),INDEX(_xlfn.TEXTSPLIT(E286," "),2))))</f>
        <v>f2</v>
      </c>
    </row>
    <row r="287" spans="1:9" x14ac:dyDescent="0.2">
      <c r="A287" t="str">
        <f t="shared" si="4"/>
        <v>acspolymersau/3c00012_f3</v>
      </c>
      <c r="B287" t="s">
        <v>2</v>
      </c>
      <c r="C287" s="1" t="s">
        <v>19</v>
      </c>
      <c r="D287" t="s">
        <v>132</v>
      </c>
      <c r="E287" t="s">
        <v>69</v>
      </c>
      <c r="F287" t="s">
        <v>81</v>
      </c>
      <c r="G287">
        <v>2</v>
      </c>
      <c r="H287" t="str" cm="1">
        <f t="array" ref="H287">INDEX(_xlfn.TEXTSPLIT(INDEX(_xlfn.TEXTSPLIT(C287, "/"), 5), "."), 1)</f>
        <v>acspolymersau</v>
      </c>
      <c r="I287" t="str" cm="1">
        <f t="array" ref="I287">IF(E287="Abstract","a",LOWER(_xlfn.CONCAT(LEFT(INDEX(_xlfn.TEXTSPLIT(E287," "),1),1),INDEX(_xlfn.TEXTSPLIT(E287," "),2))))</f>
        <v>f3</v>
      </c>
    </row>
    <row r="288" spans="1:9" x14ac:dyDescent="0.2">
      <c r="A288" t="str">
        <f t="shared" si="4"/>
        <v>acspolymersau/3c00012_si_ps11</v>
      </c>
      <c r="B288" t="s">
        <v>2</v>
      </c>
      <c r="C288" s="1" t="s">
        <v>19</v>
      </c>
      <c r="D288" t="s">
        <v>46</v>
      </c>
      <c r="E288" t="s">
        <v>163</v>
      </c>
      <c r="F288" t="s">
        <v>85</v>
      </c>
      <c r="G288">
        <v>1</v>
      </c>
      <c r="H288" t="str" cm="1">
        <f t="array" ref="H288">INDEX(_xlfn.TEXTSPLIT(INDEX(_xlfn.TEXTSPLIT(C288, "/"), 5), "."), 1)</f>
        <v>acspolymersau</v>
      </c>
      <c r="I288" t="str" cm="1">
        <f t="array" ref="I288">IF(E288="Abstract","a",LOWER(_xlfn.CONCAT(LEFT(INDEX(_xlfn.TEXTSPLIT(E288," "),1),1),INDEX(_xlfn.TEXTSPLIT(E288," "),2))))</f>
        <v>ps11</v>
      </c>
    </row>
    <row r="289" spans="1:9" x14ac:dyDescent="0.2">
      <c r="A289" t="str">
        <f t="shared" si="4"/>
        <v>acspolymersau/3c00012_si_ps13</v>
      </c>
      <c r="B289" t="s">
        <v>2</v>
      </c>
      <c r="C289" s="1" t="s">
        <v>19</v>
      </c>
      <c r="D289" t="s">
        <v>46</v>
      </c>
      <c r="E289" t="s">
        <v>164</v>
      </c>
      <c r="F289" t="s">
        <v>85</v>
      </c>
      <c r="G289">
        <v>1</v>
      </c>
      <c r="H289" t="str" cm="1">
        <f t="array" ref="H289">INDEX(_xlfn.TEXTSPLIT(INDEX(_xlfn.TEXTSPLIT(C289, "/"), 5), "."), 1)</f>
        <v>acspolymersau</v>
      </c>
      <c r="I289" t="str" cm="1">
        <f t="array" ref="I289">IF(E289="Abstract","a",LOWER(_xlfn.CONCAT(LEFT(INDEX(_xlfn.TEXTSPLIT(E289," "),1),1),INDEX(_xlfn.TEXTSPLIT(E289," "),2))))</f>
        <v>ps13</v>
      </c>
    </row>
    <row r="290" spans="1:9" x14ac:dyDescent="0.2">
      <c r="A290" t="str">
        <f t="shared" si="4"/>
        <v>acspolymersau/3c00012_si_ps8</v>
      </c>
      <c r="B290" t="s">
        <v>2</v>
      </c>
      <c r="C290" s="1" t="s">
        <v>19</v>
      </c>
      <c r="D290" t="s">
        <v>46</v>
      </c>
      <c r="E290" t="s">
        <v>140</v>
      </c>
      <c r="F290" t="s">
        <v>85</v>
      </c>
      <c r="G290">
        <v>1</v>
      </c>
      <c r="H290" t="str" cm="1">
        <f t="array" ref="H290">INDEX(_xlfn.TEXTSPLIT(INDEX(_xlfn.TEXTSPLIT(C290, "/"), 5), "."), 1)</f>
        <v>acspolymersau</v>
      </c>
      <c r="I290" t="str" cm="1">
        <f t="array" ref="I290">IF(E290="Abstract","a",LOWER(_xlfn.CONCAT(LEFT(INDEX(_xlfn.TEXTSPLIT(E290," "),1),1),INDEX(_xlfn.TEXTSPLIT(E290," "),2))))</f>
        <v>ps8</v>
      </c>
    </row>
    <row r="291" spans="1:9" x14ac:dyDescent="0.2">
      <c r="A291" t="str">
        <f t="shared" si="4"/>
        <v>acspolymersau/3c00015_f1</v>
      </c>
      <c r="B291" t="s">
        <v>2</v>
      </c>
      <c r="C291" s="1" t="s">
        <v>17</v>
      </c>
      <c r="D291" t="s">
        <v>132</v>
      </c>
      <c r="E291" t="s">
        <v>36</v>
      </c>
      <c r="F291" t="s">
        <v>82</v>
      </c>
      <c r="G291">
        <v>2</v>
      </c>
      <c r="H291" t="str" cm="1">
        <f t="array" ref="H291">INDEX(_xlfn.TEXTSPLIT(INDEX(_xlfn.TEXTSPLIT(C291, "/"), 5), "."), 1)</f>
        <v>acspolymersau</v>
      </c>
      <c r="I291" t="str" cm="1">
        <f t="array" ref="I291">IF(E291="Abstract","a",LOWER(_xlfn.CONCAT(LEFT(INDEX(_xlfn.TEXTSPLIT(E291," "),1),1),INDEX(_xlfn.TEXTSPLIT(E291," "),2))))</f>
        <v>f1</v>
      </c>
    </row>
    <row r="292" spans="1:9" x14ac:dyDescent="0.2">
      <c r="A292" t="str">
        <f t="shared" si="4"/>
        <v>acspolymersau/3c00017_s2</v>
      </c>
      <c r="B292" t="s">
        <v>2</v>
      </c>
      <c r="C292" s="1" t="s">
        <v>106</v>
      </c>
      <c r="D292" t="s">
        <v>132</v>
      </c>
      <c r="E292" t="s">
        <v>41</v>
      </c>
      <c r="F292" t="s">
        <v>81</v>
      </c>
      <c r="G292">
        <v>5</v>
      </c>
      <c r="H292" t="str" cm="1">
        <f t="array" ref="H292">INDEX(_xlfn.TEXTSPLIT(INDEX(_xlfn.TEXTSPLIT(C292, "/"), 5), "."), 1)</f>
        <v>acspolymersau</v>
      </c>
      <c r="I292" t="str" cm="1">
        <f t="array" ref="I292">IF(E292="Abstract","a",LOWER(_xlfn.CONCAT(LEFT(INDEX(_xlfn.TEXTSPLIT(E292," "),1),1),INDEX(_xlfn.TEXTSPLIT(E292," "),2))))</f>
        <v>s2</v>
      </c>
    </row>
    <row r="293" spans="1:9" x14ac:dyDescent="0.2">
      <c r="A293" t="str">
        <f t="shared" si="4"/>
        <v>acspolymersau/3c00017_si_ss1</v>
      </c>
      <c r="B293" t="s">
        <v>2</v>
      </c>
      <c r="C293" s="1" t="s">
        <v>106</v>
      </c>
      <c r="D293" t="s">
        <v>46</v>
      </c>
      <c r="E293" t="s">
        <v>135</v>
      </c>
      <c r="F293" t="s">
        <v>85</v>
      </c>
      <c r="G293">
        <v>4</v>
      </c>
      <c r="H293" t="str" cm="1">
        <f t="array" ref="H293">INDEX(_xlfn.TEXTSPLIT(INDEX(_xlfn.TEXTSPLIT(C293, "/"), 5), "."), 1)</f>
        <v>acspolymersau</v>
      </c>
      <c r="I293" t="str" cm="1">
        <f t="array" ref="I293">IF(E293="Abstract","a",LOWER(_xlfn.CONCAT(LEFT(INDEX(_xlfn.TEXTSPLIT(E293," "),1),1),INDEX(_xlfn.TEXTSPLIT(E293," "),2))))</f>
        <v>ss1</v>
      </c>
    </row>
    <row r="294" spans="1:9" x14ac:dyDescent="0.2">
      <c r="A294" t="str">
        <f t="shared" si="4"/>
        <v>acspolymersau/3c00017_si_ss2</v>
      </c>
      <c r="B294" t="s">
        <v>2</v>
      </c>
      <c r="C294" s="1" t="s">
        <v>106</v>
      </c>
      <c r="D294" t="s">
        <v>46</v>
      </c>
      <c r="E294" t="s">
        <v>136</v>
      </c>
      <c r="F294" t="s">
        <v>85</v>
      </c>
      <c r="G294">
        <v>4</v>
      </c>
      <c r="H294" t="str" cm="1">
        <f t="array" ref="H294">INDEX(_xlfn.TEXTSPLIT(INDEX(_xlfn.TEXTSPLIT(C294, "/"), 5), "."), 1)</f>
        <v>acspolymersau</v>
      </c>
      <c r="I294" t="str" cm="1">
        <f t="array" ref="I294">IF(E294="Abstract","a",LOWER(_xlfn.CONCAT(LEFT(INDEX(_xlfn.TEXTSPLIT(E294," "),1),1),INDEX(_xlfn.TEXTSPLIT(E294," "),2))))</f>
        <v>ss2</v>
      </c>
    </row>
    <row r="295" spans="1:9" x14ac:dyDescent="0.2">
      <c r="A295" t="str">
        <f t="shared" si="4"/>
        <v>acspolymersau/3c00017_si_ss4</v>
      </c>
      <c r="B295" t="s">
        <v>2</v>
      </c>
      <c r="C295" s="1" t="s">
        <v>106</v>
      </c>
      <c r="D295" t="s">
        <v>46</v>
      </c>
      <c r="E295" t="s">
        <v>168</v>
      </c>
      <c r="F295" t="s">
        <v>85</v>
      </c>
      <c r="G295">
        <v>3</v>
      </c>
      <c r="H295" t="str" cm="1">
        <f t="array" ref="H295">INDEX(_xlfn.TEXTSPLIT(INDEX(_xlfn.TEXTSPLIT(C295, "/"), 5), "."), 1)</f>
        <v>acspolymersau</v>
      </c>
      <c r="I295" t="str" cm="1">
        <f t="array" ref="I295">IF(E295="Abstract","a",LOWER(_xlfn.CONCAT(LEFT(INDEX(_xlfn.TEXTSPLIT(E295," "),1),1),INDEX(_xlfn.TEXTSPLIT(E295," "),2))))</f>
        <v>ss4</v>
      </c>
    </row>
    <row r="296" spans="1:9" x14ac:dyDescent="0.2">
      <c r="A296" t="str">
        <f t="shared" si="4"/>
        <v>acspolymersau/3c00017_si_ss5</v>
      </c>
      <c r="B296" t="s">
        <v>2</v>
      </c>
      <c r="C296" s="1" t="s">
        <v>106</v>
      </c>
      <c r="D296" t="s">
        <v>46</v>
      </c>
      <c r="E296" t="s">
        <v>169</v>
      </c>
      <c r="F296" t="s">
        <v>85</v>
      </c>
      <c r="G296">
        <v>3</v>
      </c>
      <c r="H296" t="str" cm="1">
        <f t="array" ref="H296">INDEX(_xlfn.TEXTSPLIT(INDEX(_xlfn.TEXTSPLIT(C296, "/"), 5), "."), 1)</f>
        <v>acspolymersau</v>
      </c>
      <c r="I296" t="str" cm="1">
        <f t="array" ref="I296">IF(E296="Abstract","a",LOWER(_xlfn.CONCAT(LEFT(INDEX(_xlfn.TEXTSPLIT(E296," "),1),1),INDEX(_xlfn.TEXTSPLIT(E296," "),2))))</f>
        <v>ss5</v>
      </c>
    </row>
    <row r="297" spans="1:9" x14ac:dyDescent="0.2">
      <c r="A297" t="str">
        <f t="shared" si="4"/>
        <v>acspolymersau/3c00017_si_ss6</v>
      </c>
      <c r="B297" t="s">
        <v>2</v>
      </c>
      <c r="C297" s="1" t="s">
        <v>106</v>
      </c>
      <c r="D297" t="s">
        <v>46</v>
      </c>
      <c r="E297" t="s">
        <v>170</v>
      </c>
      <c r="F297" t="s">
        <v>85</v>
      </c>
      <c r="G297">
        <v>2</v>
      </c>
      <c r="H297" t="str" cm="1">
        <f t="array" ref="H297">INDEX(_xlfn.TEXTSPLIT(INDEX(_xlfn.TEXTSPLIT(C297, "/"), 5), "."), 1)</f>
        <v>acspolymersau</v>
      </c>
      <c r="I297" t="str" cm="1">
        <f t="array" ref="I297">IF(E297="Abstract","a",LOWER(_xlfn.CONCAT(LEFT(INDEX(_xlfn.TEXTSPLIT(E297," "),1),1),INDEX(_xlfn.TEXTSPLIT(E297," "),2))))</f>
        <v>ss6</v>
      </c>
    </row>
    <row r="298" spans="1:9" x14ac:dyDescent="0.2">
      <c r="A298" t="str">
        <f t="shared" si="4"/>
        <v>acspolymersau/3c00017_si_ss7</v>
      </c>
      <c r="B298" t="s">
        <v>2</v>
      </c>
      <c r="C298" s="1" t="s">
        <v>106</v>
      </c>
      <c r="D298" t="s">
        <v>46</v>
      </c>
      <c r="E298" t="s">
        <v>171</v>
      </c>
      <c r="F298" t="s">
        <v>85</v>
      </c>
      <c r="G298">
        <v>4</v>
      </c>
      <c r="H298" t="str" cm="1">
        <f t="array" ref="H298">INDEX(_xlfn.TEXTSPLIT(INDEX(_xlfn.TEXTSPLIT(C298, "/"), 5), "."), 1)</f>
        <v>acspolymersau</v>
      </c>
      <c r="I298" t="str" cm="1">
        <f t="array" ref="I298">IF(E298="Abstract","a",LOWER(_xlfn.CONCAT(LEFT(INDEX(_xlfn.TEXTSPLIT(E298," "),1),1),INDEX(_xlfn.TEXTSPLIT(E298," "),2))))</f>
        <v>ss7</v>
      </c>
    </row>
    <row r="299" spans="1:9" x14ac:dyDescent="0.2">
      <c r="A299" t="str">
        <f t="shared" si="4"/>
        <v>acspolymersau/3c00020_f1</v>
      </c>
      <c r="B299" t="s">
        <v>2</v>
      </c>
      <c r="C299" s="1" t="s">
        <v>107</v>
      </c>
      <c r="D299" t="s">
        <v>132</v>
      </c>
      <c r="E299" t="s">
        <v>36</v>
      </c>
      <c r="F299" t="s">
        <v>81</v>
      </c>
      <c r="G299">
        <v>1</v>
      </c>
      <c r="H299" t="str" cm="1">
        <f t="array" ref="H299">INDEX(_xlfn.TEXTSPLIT(INDEX(_xlfn.TEXTSPLIT(C299, "/"), 5), "."), 1)</f>
        <v>acspolymersau</v>
      </c>
      <c r="I299" t="str" cm="1">
        <f t="array" ref="I299">IF(E299="Abstract","a",LOWER(_xlfn.CONCAT(LEFT(INDEX(_xlfn.TEXTSPLIT(E299," "),1),1),INDEX(_xlfn.TEXTSPLIT(E299," "),2))))</f>
        <v>f1</v>
      </c>
    </row>
    <row r="300" spans="1:9" x14ac:dyDescent="0.2">
      <c r="A300" t="str">
        <f t="shared" si="4"/>
        <v>acspolymersau/3c00021_si_fs1</v>
      </c>
      <c r="B300" t="s">
        <v>2</v>
      </c>
      <c r="C300" s="1" t="s">
        <v>113</v>
      </c>
      <c r="D300" t="s">
        <v>46</v>
      </c>
      <c r="E300" t="s">
        <v>154</v>
      </c>
      <c r="F300" t="s">
        <v>85</v>
      </c>
      <c r="G300">
        <v>1</v>
      </c>
      <c r="H300" t="str" cm="1">
        <f t="array" ref="H300">INDEX(_xlfn.TEXTSPLIT(INDEX(_xlfn.TEXTSPLIT(C300, "/"), 5), "."), 1)</f>
        <v>acspolymersau</v>
      </c>
      <c r="I300" t="str" cm="1">
        <f t="array" ref="I300">IF(E300="Abstract","a",LOWER(_xlfn.CONCAT(LEFT(INDEX(_xlfn.TEXTSPLIT(E300," "),1),1),INDEX(_xlfn.TEXTSPLIT(E300," "),2))))</f>
        <v>fs1</v>
      </c>
    </row>
    <row r="301" spans="1:9" x14ac:dyDescent="0.2">
      <c r="A301" t="str">
        <f t="shared" si="4"/>
        <v>acspolymersau/3c00021_si_fs4</v>
      </c>
      <c r="B301" t="s">
        <v>2</v>
      </c>
      <c r="C301" s="1" t="s">
        <v>113</v>
      </c>
      <c r="D301" t="s">
        <v>46</v>
      </c>
      <c r="E301" t="s">
        <v>139</v>
      </c>
      <c r="F301" t="s">
        <v>85</v>
      </c>
      <c r="G301">
        <v>1</v>
      </c>
      <c r="H301" t="str" cm="1">
        <f t="array" ref="H301">INDEX(_xlfn.TEXTSPLIT(INDEX(_xlfn.TEXTSPLIT(C301, "/"), 5), "."), 1)</f>
        <v>acspolymersau</v>
      </c>
      <c r="I301" t="str" cm="1">
        <f t="array" ref="I301">IF(E301="Abstract","a",LOWER(_xlfn.CONCAT(LEFT(INDEX(_xlfn.TEXTSPLIT(E301," "),1),1),INDEX(_xlfn.TEXTSPLIT(E301," "),2))))</f>
        <v>fs4</v>
      </c>
    </row>
    <row r="302" spans="1:9" x14ac:dyDescent="0.2">
      <c r="A302" t="str">
        <f t="shared" si="4"/>
        <v>acspolymersau/3c00022_f2</v>
      </c>
      <c r="B302" t="s">
        <v>2</v>
      </c>
      <c r="C302" s="1" t="s">
        <v>108</v>
      </c>
      <c r="D302" t="s">
        <v>132</v>
      </c>
      <c r="E302" t="s">
        <v>37</v>
      </c>
      <c r="F302" t="s">
        <v>81</v>
      </c>
      <c r="G302">
        <v>2</v>
      </c>
      <c r="H302" t="str" cm="1">
        <f t="array" ref="H302">INDEX(_xlfn.TEXTSPLIT(INDEX(_xlfn.TEXTSPLIT(C302, "/"), 5), "."), 1)</f>
        <v>acspolymersau</v>
      </c>
      <c r="I302" t="str" cm="1">
        <f t="array" ref="I302">IF(E302="Abstract","a",LOWER(_xlfn.CONCAT(LEFT(INDEX(_xlfn.TEXTSPLIT(E302," "),1),1),INDEX(_xlfn.TEXTSPLIT(E302," "),2))))</f>
        <v>f2</v>
      </c>
    </row>
    <row r="303" spans="1:9" x14ac:dyDescent="0.2">
      <c r="A303" t="str">
        <f t="shared" si="4"/>
        <v>acspolymersau/3c00026_f1</v>
      </c>
      <c r="B303" t="s">
        <v>2</v>
      </c>
      <c r="C303" s="1" t="s">
        <v>109</v>
      </c>
      <c r="D303" t="s">
        <v>132</v>
      </c>
      <c r="E303" t="s">
        <v>36</v>
      </c>
      <c r="F303" t="s">
        <v>81</v>
      </c>
      <c r="G303">
        <v>1</v>
      </c>
      <c r="H303" t="str" cm="1">
        <f t="array" ref="H303">INDEX(_xlfn.TEXTSPLIT(INDEX(_xlfn.TEXTSPLIT(C303, "/"), 5), "."), 1)</f>
        <v>acspolymersau</v>
      </c>
      <c r="I303" t="str" cm="1">
        <f t="array" ref="I303">IF(E303="Abstract","a",LOWER(_xlfn.CONCAT(LEFT(INDEX(_xlfn.TEXTSPLIT(E303," "),1),1),INDEX(_xlfn.TEXTSPLIT(E303," "),2))))</f>
        <v>f1</v>
      </c>
    </row>
    <row r="304" spans="1:9" x14ac:dyDescent="0.2">
      <c r="A304" t="str">
        <f t="shared" si="4"/>
        <v>acspolymersau/3c00028_si_fs7</v>
      </c>
      <c r="B304" t="s">
        <v>2</v>
      </c>
      <c r="C304" s="1" t="s">
        <v>105</v>
      </c>
      <c r="D304" t="s">
        <v>46</v>
      </c>
      <c r="E304" t="s">
        <v>166</v>
      </c>
      <c r="F304" t="s">
        <v>85</v>
      </c>
      <c r="G304">
        <v>4</v>
      </c>
      <c r="H304" t="str" cm="1">
        <f t="array" ref="H304">INDEX(_xlfn.TEXTSPLIT(INDEX(_xlfn.TEXTSPLIT(C304, "/"), 5), "."), 1)</f>
        <v>acspolymersau</v>
      </c>
      <c r="I304" t="str" cm="1">
        <f t="array" ref="I304">IF(E304="Abstract","a",LOWER(_xlfn.CONCAT(LEFT(INDEX(_xlfn.TEXTSPLIT(E304," "),1),1),INDEX(_xlfn.TEXTSPLIT(E304," "),2))))</f>
        <v>fs7</v>
      </c>
    </row>
    <row r="305" spans="1:9" x14ac:dyDescent="0.2">
      <c r="A305" t="str">
        <f t="shared" si="4"/>
        <v>acspolymersau/3c00028_si_fs8</v>
      </c>
      <c r="B305" t="s">
        <v>2</v>
      </c>
      <c r="C305" s="1" t="s">
        <v>105</v>
      </c>
      <c r="D305" t="s">
        <v>46</v>
      </c>
      <c r="E305" t="s">
        <v>167</v>
      </c>
      <c r="F305" t="s">
        <v>85</v>
      </c>
      <c r="G305">
        <v>3</v>
      </c>
      <c r="H305" t="str" cm="1">
        <f t="array" ref="H305">INDEX(_xlfn.TEXTSPLIT(INDEX(_xlfn.TEXTSPLIT(C305, "/"), 5), "."), 1)</f>
        <v>acspolymersau</v>
      </c>
      <c r="I305" t="str" cm="1">
        <f t="array" ref="I305">IF(E305="Abstract","a",LOWER(_xlfn.CONCAT(LEFT(INDEX(_xlfn.TEXTSPLIT(E305," "),1),1),INDEX(_xlfn.TEXTSPLIT(E305," "),2))))</f>
        <v>fs8</v>
      </c>
    </row>
    <row r="306" spans="1:9" x14ac:dyDescent="0.2">
      <c r="A306" t="str">
        <f t="shared" si="4"/>
        <v>acspolymersau/3c00029_f8</v>
      </c>
      <c r="B306" t="s">
        <v>2</v>
      </c>
      <c r="C306" s="1" t="s">
        <v>110</v>
      </c>
      <c r="D306" t="s">
        <v>132</v>
      </c>
      <c r="E306" t="s">
        <v>72</v>
      </c>
      <c r="F306" t="s">
        <v>81</v>
      </c>
      <c r="G306">
        <v>1</v>
      </c>
      <c r="H306" t="str" cm="1">
        <f t="array" ref="H306">INDEX(_xlfn.TEXTSPLIT(INDEX(_xlfn.TEXTSPLIT(C306, "/"), 5), "."), 1)</f>
        <v>acspolymersau</v>
      </c>
      <c r="I306" t="str" cm="1">
        <f t="array" ref="I306">IF(E306="Abstract","a",LOWER(_xlfn.CONCAT(LEFT(INDEX(_xlfn.TEXTSPLIT(E306," "),1),1),INDEX(_xlfn.TEXTSPLIT(E306," "),2))))</f>
        <v>f8</v>
      </c>
    </row>
    <row r="307" spans="1:9" x14ac:dyDescent="0.2">
      <c r="A307" t="str">
        <f t="shared" si="4"/>
        <v>acspolymersau/3c00031_f1</v>
      </c>
      <c r="B307" t="s">
        <v>2</v>
      </c>
      <c r="C307" s="1" t="s">
        <v>16</v>
      </c>
      <c r="D307" t="s">
        <v>132</v>
      </c>
      <c r="E307" t="s">
        <v>36</v>
      </c>
      <c r="F307" t="s">
        <v>82</v>
      </c>
      <c r="G307">
        <v>2</v>
      </c>
      <c r="H307" t="str" cm="1">
        <f t="array" ref="H307">INDEX(_xlfn.TEXTSPLIT(INDEX(_xlfn.TEXTSPLIT(C307, "/"), 5), "."), 1)</f>
        <v>acspolymersau</v>
      </c>
      <c r="I307" t="str" cm="1">
        <f t="array" ref="I307">IF(E307="Abstract","a",LOWER(_xlfn.CONCAT(LEFT(INDEX(_xlfn.TEXTSPLIT(E307," "),1),1),INDEX(_xlfn.TEXTSPLIT(E307," "),2))))</f>
        <v>f1</v>
      </c>
    </row>
    <row r="308" spans="1:9" x14ac:dyDescent="0.2">
      <c r="A308" t="str">
        <f t="shared" si="4"/>
        <v>acspolymersau/3c00031_si_fs9</v>
      </c>
      <c r="B308" t="s">
        <v>2</v>
      </c>
      <c r="C308" s="1" t="s">
        <v>16</v>
      </c>
      <c r="D308" t="s">
        <v>46</v>
      </c>
      <c r="E308" t="s">
        <v>156</v>
      </c>
      <c r="F308" t="s">
        <v>85</v>
      </c>
      <c r="G308">
        <v>2</v>
      </c>
      <c r="H308" t="str" cm="1">
        <f t="array" ref="H308">INDEX(_xlfn.TEXTSPLIT(INDEX(_xlfn.TEXTSPLIT(C308, "/"), 5), "."), 1)</f>
        <v>acspolymersau</v>
      </c>
      <c r="I308" t="str" cm="1">
        <f t="array" ref="I308">IF(E308="Abstract","a",LOWER(_xlfn.CONCAT(LEFT(INDEX(_xlfn.TEXTSPLIT(E308," "),1),1),INDEX(_xlfn.TEXTSPLIT(E308," "),2))))</f>
        <v>fs9</v>
      </c>
    </row>
    <row r="309" spans="1:9" x14ac:dyDescent="0.2">
      <c r="A309" t="str">
        <f t="shared" si="4"/>
        <v>acspolymersau/3c00033_si_ps10</v>
      </c>
      <c r="B309" t="s">
        <v>2</v>
      </c>
      <c r="C309" s="1" t="s">
        <v>114</v>
      </c>
      <c r="D309" t="s">
        <v>46</v>
      </c>
      <c r="E309" t="s">
        <v>142</v>
      </c>
      <c r="F309" t="s">
        <v>85</v>
      </c>
      <c r="G309">
        <v>1</v>
      </c>
      <c r="H309" t="str" cm="1">
        <f t="array" ref="H309">INDEX(_xlfn.TEXTSPLIT(INDEX(_xlfn.TEXTSPLIT(C309, "/"), 5), "."), 1)</f>
        <v>acspolymersau</v>
      </c>
      <c r="I309" t="str" cm="1">
        <f t="array" ref="I309">IF(E309="Abstract","a",LOWER(_xlfn.CONCAT(LEFT(INDEX(_xlfn.TEXTSPLIT(E309," "),1),1),INDEX(_xlfn.TEXTSPLIT(E309," "),2))))</f>
        <v>ps10</v>
      </c>
    </row>
    <row r="310" spans="1:9" x14ac:dyDescent="0.2">
      <c r="A310" t="str">
        <f t="shared" si="4"/>
        <v>acspolymersau/3c00035_f1</v>
      </c>
      <c r="B310" t="s">
        <v>2</v>
      </c>
      <c r="C310" s="1" t="s">
        <v>111</v>
      </c>
      <c r="D310" t="s">
        <v>132</v>
      </c>
      <c r="E310" t="s">
        <v>36</v>
      </c>
      <c r="F310" t="s">
        <v>81</v>
      </c>
      <c r="G310">
        <v>1</v>
      </c>
      <c r="H310" t="str" cm="1">
        <f t="array" ref="H310">INDEX(_xlfn.TEXTSPLIT(INDEX(_xlfn.TEXTSPLIT(C310, "/"), 5), "."), 1)</f>
        <v>acspolymersau</v>
      </c>
      <c r="I310" t="str" cm="1">
        <f t="array" ref="I310">IF(E310="Abstract","a",LOWER(_xlfn.CONCAT(LEFT(INDEX(_xlfn.TEXTSPLIT(E310," "),1),1),INDEX(_xlfn.TEXTSPLIT(E310," "),2))))</f>
        <v>f1</v>
      </c>
    </row>
    <row r="311" spans="1:9" x14ac:dyDescent="0.2">
      <c r="A311" t="str">
        <f t="shared" si="4"/>
        <v>acspolymersau/3c00037_f1</v>
      </c>
      <c r="B311" t="s">
        <v>2</v>
      </c>
      <c r="C311" s="1" t="s">
        <v>112</v>
      </c>
      <c r="D311" t="s">
        <v>132</v>
      </c>
      <c r="E311" t="s">
        <v>36</v>
      </c>
      <c r="F311" t="s">
        <v>82</v>
      </c>
      <c r="G311">
        <v>1</v>
      </c>
      <c r="H311" t="str" cm="1">
        <f t="array" ref="H311">INDEX(_xlfn.TEXTSPLIT(INDEX(_xlfn.TEXTSPLIT(C311, "/"), 5), "."), 1)</f>
        <v>acspolymersau</v>
      </c>
      <c r="I311" t="str" cm="1">
        <f t="array" ref="I311">IF(E311="Abstract","a",LOWER(_xlfn.CONCAT(LEFT(INDEX(_xlfn.TEXTSPLIT(E311," "),1),1),INDEX(_xlfn.TEXTSPLIT(E311," "),2))))</f>
        <v>f1</v>
      </c>
    </row>
    <row r="312" spans="1:9" x14ac:dyDescent="0.2">
      <c r="A312" t="str">
        <f t="shared" si="4"/>
        <v>acspolymersau/3c00043_f2</v>
      </c>
      <c r="B312" t="s">
        <v>2</v>
      </c>
      <c r="C312" s="1" t="s">
        <v>18</v>
      </c>
      <c r="D312" t="s">
        <v>132</v>
      </c>
      <c r="E312" t="s">
        <v>37</v>
      </c>
      <c r="F312" t="s">
        <v>82</v>
      </c>
      <c r="G312">
        <v>4</v>
      </c>
      <c r="H312" t="str" cm="1">
        <f t="array" ref="H312">INDEX(_xlfn.TEXTSPLIT(INDEX(_xlfn.TEXTSPLIT(C312, "/"), 5), "."), 1)</f>
        <v>acspolymersau</v>
      </c>
      <c r="I312" t="str" cm="1">
        <f t="array" ref="I312">IF(E312="Abstract","a",LOWER(_xlfn.CONCAT(LEFT(INDEX(_xlfn.TEXTSPLIT(E312," "),1),1),INDEX(_xlfn.TEXTSPLIT(E312," "),2))))</f>
        <v>f2</v>
      </c>
    </row>
    <row r="313" spans="1:9" x14ac:dyDescent="0.2">
      <c r="A313" t="str">
        <f t="shared" si="4"/>
        <v>acspolymersau/3c00043_f3</v>
      </c>
      <c r="B313" t="s">
        <v>2</v>
      </c>
      <c r="C313" s="1" t="s">
        <v>18</v>
      </c>
      <c r="D313" t="s">
        <v>132</v>
      </c>
      <c r="E313" t="s">
        <v>69</v>
      </c>
      <c r="F313" t="s">
        <v>82</v>
      </c>
      <c r="G313">
        <v>1</v>
      </c>
      <c r="H313" t="str" cm="1">
        <f t="array" ref="H313">INDEX(_xlfn.TEXTSPLIT(INDEX(_xlfn.TEXTSPLIT(C313, "/"), 5), "."), 1)</f>
        <v>acspolymersau</v>
      </c>
      <c r="I313" t="str" cm="1">
        <f t="array" ref="I313">IF(E313="Abstract","a",LOWER(_xlfn.CONCAT(LEFT(INDEX(_xlfn.TEXTSPLIT(E313," "),1),1),INDEX(_xlfn.TEXTSPLIT(E313," "),2))))</f>
        <v>f3</v>
      </c>
    </row>
    <row r="314" spans="1:9" x14ac:dyDescent="0.2">
      <c r="A314" t="str">
        <f t="shared" si="4"/>
        <v>acspolymersau/3c00043_s1</v>
      </c>
      <c r="B314" t="s">
        <v>2</v>
      </c>
      <c r="C314" s="1" t="s">
        <v>18</v>
      </c>
      <c r="D314" t="s">
        <v>132</v>
      </c>
      <c r="E314" t="s">
        <v>40</v>
      </c>
      <c r="F314" t="s">
        <v>82</v>
      </c>
      <c r="G314">
        <v>3</v>
      </c>
      <c r="H314" t="str" cm="1">
        <f t="array" ref="H314">INDEX(_xlfn.TEXTSPLIT(INDEX(_xlfn.TEXTSPLIT(C314, "/"), 5), "."), 1)</f>
        <v>acspolymersau</v>
      </c>
      <c r="I314" t="str" cm="1">
        <f t="array" ref="I314">IF(E314="Abstract","a",LOWER(_xlfn.CONCAT(LEFT(INDEX(_xlfn.TEXTSPLIT(E314," "),1),1),INDEX(_xlfn.TEXTSPLIT(E314," "),2))))</f>
        <v>s1</v>
      </c>
    </row>
    <row r="315" spans="1:9" x14ac:dyDescent="0.2">
      <c r="A315" t="str">
        <f t="shared" si="4"/>
        <v>acspolymersau/3c00043_si_fs4</v>
      </c>
      <c r="B315" t="s">
        <v>2</v>
      </c>
      <c r="C315" s="1" t="s">
        <v>18</v>
      </c>
      <c r="D315" t="s">
        <v>46</v>
      </c>
      <c r="E315" t="s">
        <v>139</v>
      </c>
      <c r="F315" t="s">
        <v>85</v>
      </c>
      <c r="G315">
        <v>1</v>
      </c>
      <c r="H315" t="str" cm="1">
        <f t="array" ref="H315">INDEX(_xlfn.TEXTSPLIT(INDEX(_xlfn.TEXTSPLIT(C315, "/"), 5), "."), 1)</f>
        <v>acspolymersau</v>
      </c>
      <c r="I315" t="str" cm="1">
        <f t="array" ref="I315">IF(E315="Abstract","a",LOWER(_xlfn.CONCAT(LEFT(INDEX(_xlfn.TEXTSPLIT(E315," "),1),1),INDEX(_xlfn.TEXTSPLIT(E315," "),2))))</f>
        <v>fs4</v>
      </c>
    </row>
    <row r="316" spans="1:9" x14ac:dyDescent="0.2">
      <c r="A316" t="str">
        <f t="shared" si="4"/>
        <v>acspolymersau/3c00046_s2</v>
      </c>
      <c r="B316" t="s">
        <v>2</v>
      </c>
      <c r="C316" s="1" t="s">
        <v>115</v>
      </c>
      <c r="D316" t="s">
        <v>132</v>
      </c>
      <c r="E316" t="s">
        <v>41</v>
      </c>
      <c r="F316" t="s">
        <v>82</v>
      </c>
      <c r="G316">
        <v>2</v>
      </c>
      <c r="H316" t="str" cm="1">
        <f t="array" ref="H316">INDEX(_xlfn.TEXTSPLIT(INDEX(_xlfn.TEXTSPLIT(C316, "/"), 5), "."), 1)</f>
        <v>acspolymersau</v>
      </c>
      <c r="I316" t="str" cm="1">
        <f t="array" ref="I316">IF(E316="Abstract","a",LOWER(_xlfn.CONCAT(LEFT(INDEX(_xlfn.TEXTSPLIT(E316," "),1),1),INDEX(_xlfn.TEXTSPLIT(E316," "),2))))</f>
        <v>s2</v>
      </c>
    </row>
    <row r="317" spans="1:9" x14ac:dyDescent="0.2">
      <c r="A317" t="str">
        <f t="shared" si="4"/>
        <v>acspolymersau/3c00047_s1</v>
      </c>
      <c r="B317" t="s">
        <v>2</v>
      </c>
      <c r="C317" s="1" t="s">
        <v>13</v>
      </c>
      <c r="D317" t="s">
        <v>132</v>
      </c>
      <c r="E317" t="s">
        <v>40</v>
      </c>
      <c r="F317" t="s">
        <v>81</v>
      </c>
      <c r="G317">
        <v>4</v>
      </c>
      <c r="H317" t="str" cm="1">
        <f t="array" ref="H317">INDEX(_xlfn.TEXTSPLIT(INDEX(_xlfn.TEXTSPLIT(C317, "/"), 5), "."), 1)</f>
        <v>acspolymersau</v>
      </c>
      <c r="I317" t="str" cm="1">
        <f t="array" ref="I317">IF(E317="Abstract","a",LOWER(_xlfn.CONCAT(LEFT(INDEX(_xlfn.TEXTSPLIT(E317," "),1),1),INDEX(_xlfn.TEXTSPLIT(E317," "),2))))</f>
        <v>s1</v>
      </c>
    </row>
    <row r="318" spans="1:9" x14ac:dyDescent="0.2">
      <c r="A318" t="str">
        <f t="shared" si="4"/>
        <v>acspolymersau/3c00048_s1</v>
      </c>
      <c r="B318" t="s">
        <v>2</v>
      </c>
      <c r="C318" s="1" t="s">
        <v>14</v>
      </c>
      <c r="D318" t="s">
        <v>132</v>
      </c>
      <c r="E318" t="s">
        <v>40</v>
      </c>
      <c r="F318" t="s">
        <v>81</v>
      </c>
      <c r="G318">
        <v>2</v>
      </c>
      <c r="H318" t="str" cm="1">
        <f t="array" ref="H318">INDEX(_xlfn.TEXTSPLIT(INDEX(_xlfn.TEXTSPLIT(C318, "/"), 5), "."), 1)</f>
        <v>acspolymersau</v>
      </c>
      <c r="I318" t="str" cm="1">
        <f t="array" ref="I318">IF(E318="Abstract","a",LOWER(_xlfn.CONCAT(LEFT(INDEX(_xlfn.TEXTSPLIT(E318," "),1),1),INDEX(_xlfn.TEXTSPLIT(E318," "),2))))</f>
        <v>s1</v>
      </c>
    </row>
    <row r="319" spans="1:9" x14ac:dyDescent="0.2">
      <c r="A319" t="str">
        <f t="shared" si="4"/>
        <v>acspolymersau/3c00052_s1</v>
      </c>
      <c r="B319" t="s">
        <v>2</v>
      </c>
      <c r="C319" s="1" t="s">
        <v>116</v>
      </c>
      <c r="D319" t="s">
        <v>132</v>
      </c>
      <c r="E319" t="s">
        <v>40</v>
      </c>
      <c r="F319" t="s">
        <v>82</v>
      </c>
      <c r="G319">
        <v>4</v>
      </c>
      <c r="H319" t="str" cm="1">
        <f t="array" ref="H319">INDEX(_xlfn.TEXTSPLIT(INDEX(_xlfn.TEXTSPLIT(C319, "/"), 5), "."), 1)</f>
        <v>acspolymersau</v>
      </c>
      <c r="I319" t="str" cm="1">
        <f t="array" ref="I319">IF(E319="Abstract","a",LOWER(_xlfn.CONCAT(LEFT(INDEX(_xlfn.TEXTSPLIT(E319," "),1),1),INDEX(_xlfn.TEXTSPLIT(E319," "),2))))</f>
        <v>s1</v>
      </c>
    </row>
    <row r="320" spans="1:9" x14ac:dyDescent="0.2">
      <c r="A320" t="str">
        <f t="shared" si="4"/>
        <v>acspolymersau/3c00052_si_ps4</v>
      </c>
      <c r="B320" t="s">
        <v>2</v>
      </c>
      <c r="C320" s="1" t="s">
        <v>116</v>
      </c>
      <c r="D320" t="s">
        <v>46</v>
      </c>
      <c r="E320" t="s">
        <v>165</v>
      </c>
      <c r="F320" t="s">
        <v>85</v>
      </c>
      <c r="G320">
        <v>1</v>
      </c>
      <c r="H320" t="str" cm="1">
        <f t="array" ref="H320">INDEX(_xlfn.TEXTSPLIT(INDEX(_xlfn.TEXTSPLIT(C320, "/"), 5), "."), 1)</f>
        <v>acspolymersau</v>
      </c>
      <c r="I320" t="str" cm="1">
        <f t="array" ref="I320">IF(E320="Abstract","a",LOWER(_xlfn.CONCAT(LEFT(INDEX(_xlfn.TEXTSPLIT(E320," "),1),1),INDEX(_xlfn.TEXTSPLIT(E320," "),2))))</f>
        <v>ps4</v>
      </c>
    </row>
    <row r="321" spans="1:9" x14ac:dyDescent="0.2">
      <c r="A321" t="str">
        <f t="shared" si="4"/>
        <v>acspolymersau/3c00052_si_ps9</v>
      </c>
      <c r="B321" t="s">
        <v>2</v>
      </c>
      <c r="C321" s="1" t="s">
        <v>116</v>
      </c>
      <c r="D321" t="s">
        <v>46</v>
      </c>
      <c r="E321" t="s">
        <v>141</v>
      </c>
      <c r="F321" t="s">
        <v>85</v>
      </c>
      <c r="G321">
        <v>1</v>
      </c>
      <c r="H321" t="str" cm="1">
        <f t="array" ref="H321">INDEX(_xlfn.TEXTSPLIT(INDEX(_xlfn.TEXTSPLIT(C321, "/"), 5), "."), 1)</f>
        <v>acspolymersau</v>
      </c>
      <c r="I321" t="str" cm="1">
        <f t="array" ref="I321">IF(E321="Abstract","a",LOWER(_xlfn.CONCAT(LEFT(INDEX(_xlfn.TEXTSPLIT(E321," "),1),1),INDEX(_xlfn.TEXTSPLIT(E321," "),2))))</f>
        <v>ps9</v>
      </c>
    </row>
    <row r="322" spans="1:9" x14ac:dyDescent="0.2">
      <c r="A322" t="str">
        <f t="shared" ref="A322:A385" si="5">_xlfn.CONCAT(H322, "/",RIGHT(C322,7),"_",IF(D322="SI","si_",""), I322)</f>
        <v>acspolymersau/3c00056_s1</v>
      </c>
      <c r="B322" t="s">
        <v>2</v>
      </c>
      <c r="C322" s="1" t="s">
        <v>15</v>
      </c>
      <c r="D322" t="s">
        <v>132</v>
      </c>
      <c r="E322" t="s">
        <v>40</v>
      </c>
      <c r="F322" t="s">
        <v>81</v>
      </c>
      <c r="G322">
        <v>1</v>
      </c>
      <c r="H322" t="str" cm="1">
        <f t="array" ref="H322">INDEX(_xlfn.TEXTSPLIT(INDEX(_xlfn.TEXTSPLIT(C322, "/"), 5), "."), 1)</f>
        <v>acspolymersau</v>
      </c>
      <c r="I322" t="str" cm="1">
        <f t="array" ref="I322">IF(E322="Abstract","a",LOWER(_xlfn.CONCAT(LEFT(INDEX(_xlfn.TEXTSPLIT(E322," "),1),1),INDEX(_xlfn.TEXTSPLIT(E322," "),2))))</f>
        <v>s1</v>
      </c>
    </row>
    <row r="323" spans="1:9" x14ac:dyDescent="0.2">
      <c r="A323" t="str">
        <f t="shared" si="5"/>
        <v>acspolymersau/4c00006_s1</v>
      </c>
      <c r="B323" t="s">
        <v>2</v>
      </c>
      <c r="C323" s="1" t="s">
        <v>12</v>
      </c>
      <c r="D323" t="s">
        <v>132</v>
      </c>
      <c r="E323" t="s">
        <v>40</v>
      </c>
      <c r="F323" t="s">
        <v>82</v>
      </c>
      <c r="G323">
        <v>7</v>
      </c>
      <c r="H323" t="str" cm="1">
        <f t="array" ref="H323">INDEX(_xlfn.TEXTSPLIT(INDEX(_xlfn.TEXTSPLIT(C323, "/"), 5), "."), 1)</f>
        <v>acspolymersau</v>
      </c>
      <c r="I323" t="str" cm="1">
        <f t="array" ref="I323">IF(E323="Abstract","a",LOWER(_xlfn.CONCAT(LEFT(INDEX(_xlfn.TEXTSPLIT(E323," "),1),1),INDEX(_xlfn.TEXTSPLIT(E323," "),2))))</f>
        <v>s1</v>
      </c>
    </row>
    <row r="324" spans="1:9" x14ac:dyDescent="0.2">
      <c r="A324" t="str">
        <f t="shared" si="5"/>
        <v>acspolymersau/4c00009_s2</v>
      </c>
      <c r="B324" t="s">
        <v>2</v>
      </c>
      <c r="C324" s="1" t="s">
        <v>117</v>
      </c>
      <c r="D324" t="s">
        <v>132</v>
      </c>
      <c r="E324" t="s">
        <v>41</v>
      </c>
      <c r="F324" t="s">
        <v>81</v>
      </c>
      <c r="G324">
        <v>4</v>
      </c>
      <c r="H324" t="str" cm="1">
        <f t="array" ref="H324">INDEX(_xlfn.TEXTSPLIT(INDEX(_xlfn.TEXTSPLIT(C324, "/"), 5), "."), 1)</f>
        <v>acspolymersau</v>
      </c>
      <c r="I324" t="str" cm="1">
        <f t="array" ref="I324">IF(E324="Abstract","a",LOWER(_xlfn.CONCAT(LEFT(INDEX(_xlfn.TEXTSPLIT(E324," "),1),1),INDEX(_xlfn.TEXTSPLIT(E324," "),2))))</f>
        <v>s2</v>
      </c>
    </row>
    <row r="325" spans="1:9" x14ac:dyDescent="0.2">
      <c r="A325" t="str">
        <f t="shared" si="5"/>
        <v>acspolymersau/4c00013_s1</v>
      </c>
      <c r="B325" t="s">
        <v>2</v>
      </c>
      <c r="C325" s="1" t="s">
        <v>7</v>
      </c>
      <c r="D325" t="s">
        <v>132</v>
      </c>
      <c r="E325" t="s">
        <v>40</v>
      </c>
      <c r="F325" t="s">
        <v>81</v>
      </c>
      <c r="G325">
        <v>4</v>
      </c>
      <c r="H325" t="str" cm="1">
        <f t="array" ref="H325">INDEX(_xlfn.TEXTSPLIT(INDEX(_xlfn.TEXTSPLIT(C325, "/"), 5), "."), 1)</f>
        <v>acspolymersau</v>
      </c>
      <c r="I325" t="str" cm="1">
        <f t="array" ref="I325">IF(E325="Abstract","a",LOWER(_xlfn.CONCAT(LEFT(INDEX(_xlfn.TEXTSPLIT(E325," "),1),1),INDEX(_xlfn.TEXTSPLIT(E325," "),2))))</f>
        <v>s1</v>
      </c>
    </row>
    <row r="326" spans="1:9" x14ac:dyDescent="0.2">
      <c r="A326" t="str">
        <f t="shared" si="5"/>
        <v>acspolymersau/4c00013_s2</v>
      </c>
      <c r="B326" t="s">
        <v>2</v>
      </c>
      <c r="C326" s="1" t="s">
        <v>7</v>
      </c>
      <c r="D326" t="s">
        <v>132</v>
      </c>
      <c r="E326" t="s">
        <v>41</v>
      </c>
      <c r="F326" t="s">
        <v>81</v>
      </c>
      <c r="G326">
        <v>1</v>
      </c>
      <c r="H326" t="str" cm="1">
        <f t="array" ref="H326">INDEX(_xlfn.TEXTSPLIT(INDEX(_xlfn.TEXTSPLIT(C326, "/"), 5), "."), 1)</f>
        <v>acspolymersau</v>
      </c>
      <c r="I326" t="str" cm="1">
        <f t="array" ref="I326">IF(E326="Abstract","a",LOWER(_xlfn.CONCAT(LEFT(INDEX(_xlfn.TEXTSPLIT(E326," "),1),1),INDEX(_xlfn.TEXTSPLIT(E326," "),2))))</f>
        <v>s2</v>
      </c>
    </row>
    <row r="327" spans="1:9" x14ac:dyDescent="0.2">
      <c r="A327" t="str">
        <f t="shared" si="5"/>
        <v>acspolymersau/4c00029_f1</v>
      </c>
      <c r="B327" t="s">
        <v>2</v>
      </c>
      <c r="C327" s="1" t="s">
        <v>10</v>
      </c>
      <c r="D327" t="s">
        <v>132</v>
      </c>
      <c r="E327" t="s">
        <v>36</v>
      </c>
      <c r="F327" t="s">
        <v>81</v>
      </c>
      <c r="G327">
        <v>3</v>
      </c>
      <c r="H327" t="str" cm="1">
        <f t="array" ref="H327">INDEX(_xlfn.TEXTSPLIT(INDEX(_xlfn.TEXTSPLIT(C327, "/"), 5), "."), 1)</f>
        <v>acspolymersau</v>
      </c>
      <c r="I327" t="str" cm="1">
        <f t="array" ref="I327">IF(E327="Abstract","a",LOWER(_xlfn.CONCAT(LEFT(INDEX(_xlfn.TEXTSPLIT(E327," "),1),1),INDEX(_xlfn.TEXTSPLIT(E327," "),2))))</f>
        <v>f1</v>
      </c>
    </row>
    <row r="328" spans="1:9" x14ac:dyDescent="0.2">
      <c r="A328" t="str">
        <f t="shared" si="5"/>
        <v>acspolymersau/4c00029_f4</v>
      </c>
      <c r="B328" t="s">
        <v>2</v>
      </c>
      <c r="C328" s="1" t="s">
        <v>10</v>
      </c>
      <c r="D328" t="s">
        <v>132</v>
      </c>
      <c r="E328" t="s">
        <v>34</v>
      </c>
      <c r="F328" t="s">
        <v>81</v>
      </c>
      <c r="G328">
        <v>3</v>
      </c>
      <c r="H328" t="str" cm="1">
        <f t="array" ref="H328">INDEX(_xlfn.TEXTSPLIT(INDEX(_xlfn.TEXTSPLIT(C328, "/"), 5), "."), 1)</f>
        <v>acspolymersau</v>
      </c>
      <c r="I328" t="str" cm="1">
        <f t="array" ref="I328">IF(E328="Abstract","a",LOWER(_xlfn.CONCAT(LEFT(INDEX(_xlfn.TEXTSPLIT(E328," "),1),1),INDEX(_xlfn.TEXTSPLIT(E328," "),2))))</f>
        <v>f4</v>
      </c>
    </row>
    <row r="329" spans="1:9" x14ac:dyDescent="0.2">
      <c r="A329" t="str">
        <f t="shared" si="5"/>
        <v>acspolymersau/4c00029_si_ss4</v>
      </c>
      <c r="B329" t="s">
        <v>2</v>
      </c>
      <c r="C329" s="1" t="s">
        <v>10</v>
      </c>
      <c r="D329" t="s">
        <v>46</v>
      </c>
      <c r="E329" t="s">
        <v>168</v>
      </c>
      <c r="F329" t="s">
        <v>85</v>
      </c>
      <c r="G329">
        <v>5</v>
      </c>
      <c r="H329" t="str" cm="1">
        <f t="array" ref="H329">INDEX(_xlfn.TEXTSPLIT(INDEX(_xlfn.TEXTSPLIT(C329, "/"), 5), "."), 1)</f>
        <v>acspolymersau</v>
      </c>
      <c r="I329" t="str" cm="1">
        <f t="array" ref="I329">IF(E329="Abstract","a",LOWER(_xlfn.CONCAT(LEFT(INDEX(_xlfn.TEXTSPLIT(E329," "),1),1),INDEX(_xlfn.TEXTSPLIT(E329," "),2))))</f>
        <v>ss4</v>
      </c>
    </row>
    <row r="330" spans="1:9" x14ac:dyDescent="0.2">
      <c r="A330" t="str">
        <f t="shared" si="5"/>
        <v>acspolymersau/4c00033_s1</v>
      </c>
      <c r="B330" t="s">
        <v>2</v>
      </c>
      <c r="C330" s="1" t="s">
        <v>11</v>
      </c>
      <c r="D330" t="s">
        <v>132</v>
      </c>
      <c r="E330" t="s">
        <v>40</v>
      </c>
      <c r="F330" t="s">
        <v>82</v>
      </c>
      <c r="G330">
        <v>5</v>
      </c>
      <c r="H330" t="str" cm="1">
        <f t="array" ref="H330">INDEX(_xlfn.TEXTSPLIT(INDEX(_xlfn.TEXTSPLIT(C330, "/"), 5), "."), 1)</f>
        <v>acspolymersau</v>
      </c>
      <c r="I330" t="str" cm="1">
        <f t="array" ref="I330">IF(E330="Abstract","a",LOWER(_xlfn.CONCAT(LEFT(INDEX(_xlfn.TEXTSPLIT(E330," "),1),1),INDEX(_xlfn.TEXTSPLIT(E330," "),2))))</f>
        <v>s1</v>
      </c>
    </row>
    <row r="331" spans="1:9" x14ac:dyDescent="0.2">
      <c r="A331" t="str">
        <f t="shared" si="5"/>
        <v>acspolymersau/4c00048_s1</v>
      </c>
      <c r="B331" t="s">
        <v>2</v>
      </c>
      <c r="C331" s="1" t="s">
        <v>8</v>
      </c>
      <c r="D331" t="s">
        <v>132</v>
      </c>
      <c r="E331" t="s">
        <v>40</v>
      </c>
      <c r="F331" t="s">
        <v>81</v>
      </c>
      <c r="G331">
        <v>1</v>
      </c>
      <c r="H331" t="str" cm="1">
        <f t="array" ref="H331">INDEX(_xlfn.TEXTSPLIT(INDEX(_xlfn.TEXTSPLIT(C331, "/"), 5), "."), 1)</f>
        <v>acspolymersau</v>
      </c>
      <c r="I331" t="str" cm="1">
        <f t="array" ref="I331">IF(E331="Abstract","a",LOWER(_xlfn.CONCAT(LEFT(INDEX(_xlfn.TEXTSPLIT(E331," "),1),1),INDEX(_xlfn.TEXTSPLIT(E331," "),2))))</f>
        <v>s1</v>
      </c>
    </row>
    <row r="332" spans="1:9" x14ac:dyDescent="0.2">
      <c r="A332" t="str">
        <f t="shared" si="5"/>
        <v>acspolymersau/4c00050_s1</v>
      </c>
      <c r="B332" t="s">
        <v>2</v>
      </c>
      <c r="C332" s="1" t="s">
        <v>9</v>
      </c>
      <c r="D332" t="s">
        <v>132</v>
      </c>
      <c r="E332" t="s">
        <v>40</v>
      </c>
      <c r="F332" t="s">
        <v>81</v>
      </c>
      <c r="G332">
        <v>2</v>
      </c>
      <c r="H332" t="str" cm="1">
        <f t="array" ref="H332">INDEX(_xlfn.TEXTSPLIT(INDEX(_xlfn.TEXTSPLIT(C332, "/"), 5), "."), 1)</f>
        <v>acspolymersau</v>
      </c>
      <c r="I332" t="str" cm="1">
        <f t="array" ref="I332">IF(E332="Abstract","a",LOWER(_xlfn.CONCAT(LEFT(INDEX(_xlfn.TEXTSPLIT(E332," "),1),1),INDEX(_xlfn.TEXTSPLIT(E332," "),2))))</f>
        <v>s1</v>
      </c>
    </row>
    <row r="333" spans="1:9" x14ac:dyDescent="0.2">
      <c r="A333" t="str">
        <f t="shared" si="5"/>
        <v>acspolymersau/4c00059_s1</v>
      </c>
      <c r="B333" t="s">
        <v>2</v>
      </c>
      <c r="C333" s="1" t="s">
        <v>6</v>
      </c>
      <c r="D333" t="s">
        <v>132</v>
      </c>
      <c r="E333" t="s">
        <v>40</v>
      </c>
      <c r="F333" t="s">
        <v>82</v>
      </c>
      <c r="G333">
        <v>4</v>
      </c>
      <c r="H333" t="str" cm="1">
        <f t="array" ref="H333">INDEX(_xlfn.TEXTSPLIT(INDEX(_xlfn.TEXTSPLIT(C333, "/"), 5), "."), 1)</f>
        <v>acspolymersau</v>
      </c>
      <c r="I333" t="str" cm="1">
        <f t="array" ref="I333">IF(E333="Abstract","a",LOWER(_xlfn.CONCAT(LEFT(INDEX(_xlfn.TEXTSPLIT(E333," "),1),1),INDEX(_xlfn.TEXTSPLIT(E333," "),2))))</f>
        <v>s1</v>
      </c>
    </row>
    <row r="334" spans="1:9" x14ac:dyDescent="0.2">
      <c r="A334" t="str">
        <f t="shared" si="5"/>
        <v>acspolymersau/4c00073_s2</v>
      </c>
      <c r="B334" t="s">
        <v>2</v>
      </c>
      <c r="C334" s="1" t="s">
        <v>118</v>
      </c>
      <c r="D334" t="s">
        <v>132</v>
      </c>
      <c r="E334" t="s">
        <v>41</v>
      </c>
      <c r="F334" t="s">
        <v>81</v>
      </c>
      <c r="G334">
        <v>1</v>
      </c>
      <c r="H334" t="str" cm="1">
        <f t="array" ref="H334">INDEX(_xlfn.TEXTSPLIT(INDEX(_xlfn.TEXTSPLIT(C334, "/"), 5), "."), 1)</f>
        <v>acspolymersau</v>
      </c>
      <c r="I334" t="str" cm="1">
        <f t="array" ref="I334">IF(E334="Abstract","a",LOWER(_xlfn.CONCAT(LEFT(INDEX(_xlfn.TEXTSPLIT(E334," "),1),1),INDEX(_xlfn.TEXTSPLIT(E334," "),2))))</f>
        <v>s2</v>
      </c>
    </row>
    <row r="335" spans="1:9" x14ac:dyDescent="0.2">
      <c r="A335" t="str">
        <f t="shared" si="5"/>
        <v>acspolymersau/4c00074_f1</v>
      </c>
      <c r="B335" t="s">
        <v>2</v>
      </c>
      <c r="C335" s="1" t="s">
        <v>3</v>
      </c>
      <c r="D335" t="s">
        <v>132</v>
      </c>
      <c r="E335" t="s">
        <v>36</v>
      </c>
      <c r="F335" t="s">
        <v>82</v>
      </c>
      <c r="G335">
        <v>2</v>
      </c>
      <c r="H335" t="str" cm="1">
        <f t="array" ref="H335">INDEX(_xlfn.TEXTSPLIT(INDEX(_xlfn.TEXTSPLIT(C335, "/"), 5), "."), 1)</f>
        <v>acspolymersau</v>
      </c>
      <c r="I335" t="str" cm="1">
        <f t="array" ref="I335">IF(E335="Abstract","a",LOWER(_xlfn.CONCAT(LEFT(INDEX(_xlfn.TEXTSPLIT(E335," "),1),1),INDEX(_xlfn.TEXTSPLIT(E335," "),2))))</f>
        <v>f1</v>
      </c>
    </row>
    <row r="336" spans="1:9" x14ac:dyDescent="0.2">
      <c r="A336" t="str">
        <f t="shared" si="5"/>
        <v>acspolymersau/4c00079_s1</v>
      </c>
      <c r="B336" t="s">
        <v>2</v>
      </c>
      <c r="C336" s="1" t="s">
        <v>120</v>
      </c>
      <c r="D336" t="s">
        <v>132</v>
      </c>
      <c r="E336" t="s">
        <v>40</v>
      </c>
      <c r="F336" t="s">
        <v>82</v>
      </c>
      <c r="G336">
        <v>2</v>
      </c>
      <c r="H336" t="str" cm="1">
        <f t="array" ref="H336">INDEX(_xlfn.TEXTSPLIT(INDEX(_xlfn.TEXTSPLIT(C336, "/"), 5), "."), 1)</f>
        <v>acspolymersau</v>
      </c>
      <c r="I336" t="str" cm="1">
        <f t="array" ref="I336">IF(E336="Abstract","a",LOWER(_xlfn.CONCAT(LEFT(INDEX(_xlfn.TEXTSPLIT(E336," "),1),1),INDEX(_xlfn.TEXTSPLIT(E336," "),2))))</f>
        <v>s1</v>
      </c>
    </row>
    <row r="337" spans="1:9" x14ac:dyDescent="0.2">
      <c r="A337" t="str">
        <f t="shared" si="5"/>
        <v>acspolymersau/4c00088_a</v>
      </c>
      <c r="B337" t="s">
        <v>2</v>
      </c>
      <c r="C337" s="1" t="s">
        <v>119</v>
      </c>
      <c r="D337" t="s">
        <v>132</v>
      </c>
      <c r="E337" t="s">
        <v>49</v>
      </c>
      <c r="F337" t="s">
        <v>82</v>
      </c>
      <c r="G337">
        <v>1</v>
      </c>
      <c r="H337" t="str" cm="1">
        <f t="array" ref="H337">INDEX(_xlfn.TEXTSPLIT(INDEX(_xlfn.TEXTSPLIT(C337, "/"), 5), "."), 1)</f>
        <v>acspolymersau</v>
      </c>
      <c r="I337" t="str" cm="1">
        <f t="array" ref="I337">IF(E337="Abstract","a",LOWER(_xlfn.CONCAT(LEFT(INDEX(_xlfn.TEXTSPLIT(E337," "),1),1),INDEX(_xlfn.TEXTSPLIT(E337," "),2))))</f>
        <v>a</v>
      </c>
    </row>
    <row r="338" spans="1:9" x14ac:dyDescent="0.2">
      <c r="A338" t="str">
        <f t="shared" si="5"/>
        <v>acspolymersau/4c00088_f3</v>
      </c>
      <c r="B338" t="s">
        <v>2</v>
      </c>
      <c r="C338" s="1" t="s">
        <v>119</v>
      </c>
      <c r="D338" t="s">
        <v>132</v>
      </c>
      <c r="E338" t="s">
        <v>69</v>
      </c>
      <c r="F338" t="s">
        <v>82</v>
      </c>
      <c r="G338">
        <v>3</v>
      </c>
      <c r="H338" t="str" cm="1">
        <f t="array" ref="H338">INDEX(_xlfn.TEXTSPLIT(INDEX(_xlfn.TEXTSPLIT(C338, "/"), 5), "."), 1)</f>
        <v>acspolymersau</v>
      </c>
      <c r="I338" t="str" cm="1">
        <f t="array" ref="I338">IF(E338="Abstract","a",LOWER(_xlfn.CONCAT(LEFT(INDEX(_xlfn.TEXTSPLIT(E338," "),1),1),INDEX(_xlfn.TEXTSPLIT(E338," "),2))))</f>
        <v>f3</v>
      </c>
    </row>
    <row r="339" spans="1:9" x14ac:dyDescent="0.2">
      <c r="A339" t="str">
        <f t="shared" si="5"/>
        <v>acspolymersau/4c00089_a</v>
      </c>
      <c r="B339" t="s">
        <v>2</v>
      </c>
      <c r="C339" s="1" t="s">
        <v>5</v>
      </c>
      <c r="D339" t="s">
        <v>132</v>
      </c>
      <c r="E339" t="s">
        <v>49</v>
      </c>
      <c r="F339" t="s">
        <v>82</v>
      </c>
      <c r="G339">
        <v>2</v>
      </c>
      <c r="H339" t="str" cm="1">
        <f t="array" ref="H339">INDEX(_xlfn.TEXTSPLIT(INDEX(_xlfn.TEXTSPLIT(C339, "/"), 5), "."), 1)</f>
        <v>acspolymersau</v>
      </c>
      <c r="I339" t="str" cm="1">
        <f t="array" ref="I339">IF(E339="Abstract","a",LOWER(_xlfn.CONCAT(LEFT(INDEX(_xlfn.TEXTSPLIT(E339," "),1),1),INDEX(_xlfn.TEXTSPLIT(E339," "),2))))</f>
        <v>a</v>
      </c>
    </row>
    <row r="340" spans="1:9" x14ac:dyDescent="0.2">
      <c r="A340" t="str">
        <f t="shared" si="5"/>
        <v>acspolymersau/4c00095_a</v>
      </c>
      <c r="B340" t="s">
        <v>2</v>
      </c>
      <c r="C340" s="1" t="s">
        <v>4</v>
      </c>
      <c r="D340" t="s">
        <v>132</v>
      </c>
      <c r="E340" t="s">
        <v>49</v>
      </c>
      <c r="F340" t="s">
        <v>81</v>
      </c>
      <c r="G340">
        <v>1</v>
      </c>
      <c r="H340" t="str" cm="1">
        <f t="array" ref="H340">INDEX(_xlfn.TEXTSPLIT(INDEX(_xlfn.TEXTSPLIT(C340, "/"), 5), "."), 1)</f>
        <v>acspolymersau</v>
      </c>
      <c r="I340" t="str" cm="1">
        <f t="array" ref="I340">IF(E340="Abstract","a",LOWER(_xlfn.CONCAT(LEFT(INDEX(_xlfn.TEXTSPLIT(E340," "),1),1),INDEX(_xlfn.TEXTSPLIT(E340," "),2))))</f>
        <v>a</v>
      </c>
    </row>
    <row r="341" spans="1:9" x14ac:dyDescent="0.2">
      <c r="A341" t="str">
        <f t="shared" si="5"/>
        <v>acspolymersau/4c00096_s1</v>
      </c>
      <c r="B341" t="s">
        <v>2</v>
      </c>
      <c r="C341" s="1" t="s">
        <v>121</v>
      </c>
      <c r="D341" t="s">
        <v>132</v>
      </c>
      <c r="E341" t="s">
        <v>40</v>
      </c>
      <c r="F341" t="s">
        <v>81</v>
      </c>
      <c r="G341">
        <v>1</v>
      </c>
      <c r="H341" t="str" cm="1">
        <f t="array" ref="H341">INDEX(_xlfn.TEXTSPLIT(INDEX(_xlfn.TEXTSPLIT(C341, "/"), 5), "."), 1)</f>
        <v>acspolymersau</v>
      </c>
      <c r="I341" t="str" cm="1">
        <f t="array" ref="I341">IF(E341="Abstract","a",LOWER(_xlfn.CONCAT(LEFT(INDEX(_xlfn.TEXTSPLIT(E341," "),1),1),INDEX(_xlfn.TEXTSPLIT(E341," "),2))))</f>
        <v>s1</v>
      </c>
    </row>
    <row r="342" spans="1:9" x14ac:dyDescent="0.2">
      <c r="A342" t="str">
        <f t="shared" si="5"/>
        <v>acspolymersau/4c00099_f1</v>
      </c>
      <c r="B342" t="s">
        <v>2</v>
      </c>
      <c r="C342" s="1" t="s">
        <v>125</v>
      </c>
      <c r="D342" t="s">
        <v>132</v>
      </c>
      <c r="E342" t="s">
        <v>36</v>
      </c>
      <c r="F342" t="s">
        <v>81</v>
      </c>
      <c r="G342">
        <v>1</v>
      </c>
      <c r="H342" t="str" cm="1">
        <f t="array" ref="H342">INDEX(_xlfn.TEXTSPLIT(INDEX(_xlfn.TEXTSPLIT(C342, "/"), 5), "."), 1)</f>
        <v>acspolymersau</v>
      </c>
      <c r="I342" t="str" cm="1">
        <f t="array" ref="I342">IF(E342="Abstract","a",LOWER(_xlfn.CONCAT(LEFT(INDEX(_xlfn.TEXTSPLIT(E342," "),1),1),INDEX(_xlfn.TEXTSPLIT(E342," "),2))))</f>
        <v>f1</v>
      </c>
    </row>
    <row r="343" spans="1:9" x14ac:dyDescent="0.2">
      <c r="A343" t="str">
        <f t="shared" si="5"/>
        <v>acspolymersau/4c00101_s2</v>
      </c>
      <c r="B343" t="s">
        <v>2</v>
      </c>
      <c r="C343" s="1" t="s">
        <v>123</v>
      </c>
      <c r="D343" t="s">
        <v>132</v>
      </c>
      <c r="E343" t="s">
        <v>41</v>
      </c>
      <c r="F343" t="s">
        <v>82</v>
      </c>
      <c r="G343">
        <v>2</v>
      </c>
      <c r="H343" t="str" cm="1">
        <f t="array" ref="H343">INDEX(_xlfn.TEXTSPLIT(INDEX(_xlfn.TEXTSPLIT(C343, "/"), 5), "."), 1)</f>
        <v>acspolymersau</v>
      </c>
      <c r="I343" t="str" cm="1">
        <f t="array" ref="I343">IF(E343="Abstract","a",LOWER(_xlfn.CONCAT(LEFT(INDEX(_xlfn.TEXTSPLIT(E343," "),1),1),INDEX(_xlfn.TEXTSPLIT(E343," "),2))))</f>
        <v>s2</v>
      </c>
    </row>
    <row r="344" spans="1:9" x14ac:dyDescent="0.2">
      <c r="A344" t="str">
        <f t="shared" si="5"/>
        <v>acspolymersau/5c00007_f3</v>
      </c>
      <c r="B344" t="s">
        <v>2</v>
      </c>
      <c r="C344" s="1" t="s">
        <v>122</v>
      </c>
      <c r="D344" t="s">
        <v>132</v>
      </c>
      <c r="E344" t="s">
        <v>69</v>
      </c>
      <c r="F344" t="s">
        <v>81</v>
      </c>
      <c r="G344">
        <v>4</v>
      </c>
      <c r="H344" t="str" cm="1">
        <f t="array" ref="H344">INDEX(_xlfn.TEXTSPLIT(INDEX(_xlfn.TEXTSPLIT(C344, "/"), 5), "."), 1)</f>
        <v>acspolymersau</v>
      </c>
      <c r="I344" t="str" cm="1">
        <f t="array" ref="I344">IF(E344="Abstract","a",LOWER(_xlfn.CONCAT(LEFT(INDEX(_xlfn.TEXTSPLIT(E344," "),1),1),INDEX(_xlfn.TEXTSPLIT(E344," "),2))))</f>
        <v>f3</v>
      </c>
    </row>
    <row r="345" spans="1:9" x14ac:dyDescent="0.2">
      <c r="A345" t="str">
        <f t="shared" si="5"/>
        <v>acspolymersau/5c00009_a</v>
      </c>
      <c r="B345" t="s">
        <v>2</v>
      </c>
      <c r="C345" s="1" t="s">
        <v>126</v>
      </c>
      <c r="D345" t="s">
        <v>132</v>
      </c>
      <c r="E345" t="s">
        <v>49</v>
      </c>
      <c r="F345" t="s">
        <v>82</v>
      </c>
      <c r="G345">
        <v>2</v>
      </c>
      <c r="H345" t="str" cm="1">
        <f t="array" ref="H345">INDEX(_xlfn.TEXTSPLIT(INDEX(_xlfn.TEXTSPLIT(C345, "/"), 5), "."), 1)</f>
        <v>acspolymersau</v>
      </c>
      <c r="I345" t="str" cm="1">
        <f t="array" ref="I345">IF(E345="Abstract","a",LOWER(_xlfn.CONCAT(LEFT(INDEX(_xlfn.TEXTSPLIT(E345," "),1),1),INDEX(_xlfn.TEXTSPLIT(E345," "),2))))</f>
        <v>a</v>
      </c>
    </row>
    <row r="346" spans="1:9" x14ac:dyDescent="0.2">
      <c r="A346" t="str">
        <f t="shared" si="5"/>
        <v>acspolymersau/5c00012_f1</v>
      </c>
      <c r="B346" t="s">
        <v>2</v>
      </c>
      <c r="C346" s="1" t="s">
        <v>128</v>
      </c>
      <c r="D346" t="s">
        <v>132</v>
      </c>
      <c r="E346" t="s">
        <v>36</v>
      </c>
      <c r="F346" t="s">
        <v>82</v>
      </c>
      <c r="G346">
        <v>4</v>
      </c>
      <c r="H346" t="str" cm="1">
        <f t="array" ref="H346">INDEX(_xlfn.TEXTSPLIT(INDEX(_xlfn.TEXTSPLIT(C346, "/"), 5), "."), 1)</f>
        <v>acspolymersau</v>
      </c>
      <c r="I346" t="str" cm="1">
        <f t="array" ref="I346">IF(E346="Abstract","a",LOWER(_xlfn.CONCAT(LEFT(INDEX(_xlfn.TEXTSPLIT(E346," "),1),1),INDEX(_xlfn.TEXTSPLIT(E346," "),2))))</f>
        <v>f1</v>
      </c>
    </row>
    <row r="347" spans="1:9" x14ac:dyDescent="0.2">
      <c r="A347" t="str">
        <f t="shared" si="5"/>
        <v>acspolymersau/5c00016_s1</v>
      </c>
      <c r="B347" t="s">
        <v>2</v>
      </c>
      <c r="C347" s="1" t="s">
        <v>124</v>
      </c>
      <c r="D347" t="s">
        <v>132</v>
      </c>
      <c r="E347" t="s">
        <v>40</v>
      </c>
      <c r="F347" t="s">
        <v>81</v>
      </c>
      <c r="G347">
        <v>5</v>
      </c>
      <c r="H347" t="str" cm="1">
        <f t="array" ref="H347">INDEX(_xlfn.TEXTSPLIT(INDEX(_xlfn.TEXTSPLIT(C347, "/"), 5), "."), 1)</f>
        <v>acspolymersau</v>
      </c>
      <c r="I347" t="str" cm="1">
        <f t="array" ref="I347">IF(E347="Abstract","a",LOWER(_xlfn.CONCAT(LEFT(INDEX(_xlfn.TEXTSPLIT(E347," "),1),1),INDEX(_xlfn.TEXTSPLIT(E347," "),2))))</f>
        <v>s1</v>
      </c>
    </row>
    <row r="348" spans="1:9" x14ac:dyDescent="0.2">
      <c r="A348" t="str">
        <f t="shared" si="5"/>
        <v>acspolymersau/5c00016_s2</v>
      </c>
      <c r="B348" t="s">
        <v>2</v>
      </c>
      <c r="C348" s="1" t="s">
        <v>124</v>
      </c>
      <c r="D348" t="s">
        <v>132</v>
      </c>
      <c r="E348" t="s">
        <v>41</v>
      </c>
      <c r="F348" t="s">
        <v>81</v>
      </c>
      <c r="G348">
        <v>3</v>
      </c>
      <c r="H348" t="str" cm="1">
        <f t="array" ref="H348">INDEX(_xlfn.TEXTSPLIT(INDEX(_xlfn.TEXTSPLIT(C348, "/"), 5), "."), 1)</f>
        <v>acspolymersau</v>
      </c>
      <c r="I348" t="str" cm="1">
        <f t="array" ref="I348">IF(E348="Abstract","a",LOWER(_xlfn.CONCAT(LEFT(INDEX(_xlfn.TEXTSPLIT(E348," "),1),1),INDEX(_xlfn.TEXTSPLIT(E348," "),2))))</f>
        <v>s2</v>
      </c>
    </row>
    <row r="349" spans="1:9" x14ac:dyDescent="0.2">
      <c r="A349" t="str">
        <f t="shared" si="5"/>
        <v>acspolymersau/5c00020_f4</v>
      </c>
      <c r="B349" t="s">
        <v>2</v>
      </c>
      <c r="C349" s="1" t="s">
        <v>127</v>
      </c>
      <c r="D349" t="s">
        <v>132</v>
      </c>
      <c r="E349" t="s">
        <v>34</v>
      </c>
      <c r="F349" t="s">
        <v>82</v>
      </c>
      <c r="G349">
        <v>1</v>
      </c>
      <c r="H349" t="str" cm="1">
        <f t="array" ref="H349">INDEX(_xlfn.TEXTSPLIT(INDEX(_xlfn.TEXTSPLIT(C349, "/"), 5), "."), 1)</f>
        <v>acspolymersau</v>
      </c>
      <c r="I349" t="str" cm="1">
        <f t="array" ref="I349">IF(E349="Abstract","a",LOWER(_xlfn.CONCAT(LEFT(INDEX(_xlfn.TEXTSPLIT(E349," "),1),1),INDEX(_xlfn.TEXTSPLIT(E349," "),2))))</f>
        <v>f4</v>
      </c>
    </row>
    <row r="350" spans="1:9" x14ac:dyDescent="0.2">
      <c r="A350" t="str">
        <f t="shared" si="5"/>
        <v>macromolecules/401311s_s1</v>
      </c>
      <c r="B350" t="s">
        <v>20</v>
      </c>
      <c r="C350" s="1" t="s">
        <v>279</v>
      </c>
      <c r="D350" t="s">
        <v>132</v>
      </c>
      <c r="E350" t="s">
        <v>40</v>
      </c>
      <c r="F350" t="s">
        <v>190</v>
      </c>
      <c r="G350">
        <v>3</v>
      </c>
      <c r="H350" t="s">
        <v>280</v>
      </c>
      <c r="I350" t="str" cm="1">
        <f t="array" ref="I350">IF(E350="Abstract","a",LOWER(_xlfn.CONCAT(LEFT(INDEX(_xlfn.TEXTSPLIT(E350," "),1),1),INDEX(_xlfn.TEXTSPLIT(E350," "),2))))</f>
        <v>s1</v>
      </c>
    </row>
    <row r="351" spans="1:9" x14ac:dyDescent="0.2">
      <c r="A351" t="str">
        <f t="shared" si="5"/>
        <v>macromolecules/402069b_s2</v>
      </c>
      <c r="B351" t="s">
        <v>20</v>
      </c>
      <c r="C351" s="1" t="s">
        <v>281</v>
      </c>
      <c r="D351" t="s">
        <v>132</v>
      </c>
      <c r="E351" t="s">
        <v>41</v>
      </c>
      <c r="F351" t="s">
        <v>190</v>
      </c>
      <c r="G351">
        <v>2</v>
      </c>
      <c r="H351" t="s">
        <v>280</v>
      </c>
      <c r="I351" t="str" cm="1">
        <f t="array" ref="I351">IF(E351="Abstract","a",LOWER(_xlfn.CONCAT(LEFT(INDEX(_xlfn.TEXTSPLIT(E351," "),1),1),INDEX(_xlfn.TEXTSPLIT(E351," "),2))))</f>
        <v>s2</v>
      </c>
    </row>
    <row r="352" spans="1:9" x14ac:dyDescent="0.2">
      <c r="A352" t="str">
        <f t="shared" si="5"/>
        <v>macromolecules/500163u_s2</v>
      </c>
      <c r="B352" t="s">
        <v>20</v>
      </c>
      <c r="C352" s="1" t="s">
        <v>283</v>
      </c>
      <c r="D352" t="s">
        <v>132</v>
      </c>
      <c r="E352" t="s">
        <v>41</v>
      </c>
      <c r="F352" t="s">
        <v>190</v>
      </c>
      <c r="G352">
        <v>4</v>
      </c>
      <c r="H352" t="s">
        <v>280</v>
      </c>
      <c r="I352" t="str" cm="1">
        <f t="array" ref="I352">IF(E352="Abstract","a",LOWER(_xlfn.CONCAT(LEFT(INDEX(_xlfn.TEXTSPLIT(E352," "),1),1),INDEX(_xlfn.TEXTSPLIT(E352," "),2))))</f>
        <v>s2</v>
      </c>
    </row>
    <row r="353" spans="1:9" x14ac:dyDescent="0.2">
      <c r="A353" t="str">
        <f t="shared" si="5"/>
        <v>macromolecules/501140h_f1</v>
      </c>
      <c r="B353" t="s">
        <v>20</v>
      </c>
      <c r="C353" s="1" t="s">
        <v>285</v>
      </c>
      <c r="D353" t="s">
        <v>132</v>
      </c>
      <c r="E353" t="s">
        <v>36</v>
      </c>
      <c r="F353" t="s">
        <v>190</v>
      </c>
      <c r="G353">
        <v>2</v>
      </c>
      <c r="H353" t="s">
        <v>280</v>
      </c>
      <c r="I353" t="str" cm="1">
        <f t="array" ref="I353">IF(E353="Abstract","a",LOWER(_xlfn.CONCAT(LEFT(INDEX(_xlfn.TEXTSPLIT(E353," "),1),1),INDEX(_xlfn.TEXTSPLIT(E353," "),2))))</f>
        <v>f1</v>
      </c>
    </row>
    <row r="354" spans="1:9" x14ac:dyDescent="0.2">
      <c r="A354" t="str">
        <f t="shared" si="5"/>
        <v>macromolecules/5014308_f1</v>
      </c>
      <c r="B354" t="s">
        <v>20</v>
      </c>
      <c r="C354" s="1" t="s">
        <v>286</v>
      </c>
      <c r="D354" t="s">
        <v>132</v>
      </c>
      <c r="E354" t="s">
        <v>36</v>
      </c>
      <c r="F354" t="s">
        <v>190</v>
      </c>
      <c r="G354">
        <v>1</v>
      </c>
      <c r="H354" t="s">
        <v>280</v>
      </c>
      <c r="I354" t="str" cm="1">
        <f t="array" ref="I354">IF(E354="Abstract","a",LOWER(_xlfn.CONCAT(LEFT(INDEX(_xlfn.TEXTSPLIT(E354," "),1),1),INDEX(_xlfn.TEXTSPLIT(E354," "),2))))</f>
        <v>f1</v>
      </c>
    </row>
    <row r="355" spans="1:9" x14ac:dyDescent="0.2">
      <c r="A355" t="str">
        <f t="shared" si="5"/>
        <v>macromolecules/502460t_s2</v>
      </c>
      <c r="B355" t="s">
        <v>20</v>
      </c>
      <c r="C355" s="1" t="s">
        <v>287</v>
      </c>
      <c r="D355" t="s">
        <v>132</v>
      </c>
      <c r="E355" t="s">
        <v>41</v>
      </c>
      <c r="F355" t="s">
        <v>190</v>
      </c>
      <c r="G355">
        <v>1</v>
      </c>
      <c r="H355" t="s">
        <v>280</v>
      </c>
      <c r="I355" t="str" cm="1">
        <f t="array" ref="I355">IF(E355="Abstract","a",LOWER(_xlfn.CONCAT(LEFT(INDEX(_xlfn.TEXTSPLIT(E355," "),1),1),INDEX(_xlfn.TEXTSPLIT(E355," "),2))))</f>
        <v>s2</v>
      </c>
    </row>
    <row r="356" spans="1:9" x14ac:dyDescent="0.2">
      <c r="A356" t="str">
        <f t="shared" si="5"/>
        <v>macromolecules/502460t_s4</v>
      </c>
      <c r="B356" t="s">
        <v>20</v>
      </c>
      <c r="C356" s="1" t="s">
        <v>287</v>
      </c>
      <c r="D356" t="s">
        <v>132</v>
      </c>
      <c r="E356" t="s">
        <v>44</v>
      </c>
      <c r="F356" t="s">
        <v>190</v>
      </c>
      <c r="G356">
        <v>1</v>
      </c>
      <c r="H356" t="s">
        <v>280</v>
      </c>
      <c r="I356" t="str" cm="1">
        <f t="array" ref="I356">IF(E356="Abstract","a",LOWER(_xlfn.CONCAT(LEFT(INDEX(_xlfn.TEXTSPLIT(E356," "),1),1),INDEX(_xlfn.TEXTSPLIT(E356," "),2))))</f>
        <v>s4</v>
      </c>
    </row>
    <row r="357" spans="1:9" x14ac:dyDescent="0.2">
      <c r="A357" t="str">
        <f t="shared" si="5"/>
        <v>macromolecules/502542g_a</v>
      </c>
      <c r="B357" t="s">
        <v>20</v>
      </c>
      <c r="C357" s="1" t="s">
        <v>288</v>
      </c>
      <c r="D357" t="s">
        <v>132</v>
      </c>
      <c r="E357" t="s">
        <v>49</v>
      </c>
      <c r="F357" t="s">
        <v>190</v>
      </c>
      <c r="G357">
        <v>1</v>
      </c>
      <c r="H357" t="s">
        <v>280</v>
      </c>
      <c r="I357" t="str" cm="1">
        <f t="array" ref="I357">IF(E357="Abstract","a",LOWER(_xlfn.CONCAT(LEFT(INDEX(_xlfn.TEXTSPLIT(E357," "),1),1),INDEX(_xlfn.TEXTSPLIT(E357," "),2))))</f>
        <v>a</v>
      </c>
    </row>
    <row r="358" spans="1:9" x14ac:dyDescent="0.2">
      <c r="A358" t="str">
        <f t="shared" si="5"/>
        <v>macromolecules/502542g_f1</v>
      </c>
      <c r="B358" t="s">
        <v>20</v>
      </c>
      <c r="C358" s="1" t="s">
        <v>288</v>
      </c>
      <c r="D358" t="s">
        <v>132</v>
      </c>
      <c r="E358" t="s">
        <v>36</v>
      </c>
      <c r="F358" t="s">
        <v>190</v>
      </c>
      <c r="G358">
        <v>1</v>
      </c>
      <c r="H358" t="s">
        <v>280</v>
      </c>
      <c r="I358" t="str" cm="1">
        <f t="array" ref="I358">IF(E358="Abstract","a",LOWER(_xlfn.CONCAT(LEFT(INDEX(_xlfn.TEXTSPLIT(E358," "),1),1),INDEX(_xlfn.TEXTSPLIT(E358," "),2))))</f>
        <v>f1</v>
      </c>
    </row>
    <row r="359" spans="1:9" x14ac:dyDescent="0.2">
      <c r="A359" t="str">
        <f t="shared" si="5"/>
        <v>macromolecules/5b00435_s1</v>
      </c>
      <c r="B359" t="s">
        <v>20</v>
      </c>
      <c r="C359" s="1" t="s">
        <v>289</v>
      </c>
      <c r="D359" t="s">
        <v>132</v>
      </c>
      <c r="E359" t="s">
        <v>40</v>
      </c>
      <c r="F359" t="s">
        <v>190</v>
      </c>
      <c r="G359">
        <v>2</v>
      </c>
      <c r="H359" t="s">
        <v>280</v>
      </c>
      <c r="I359" t="str" cm="1">
        <f t="array" ref="I359">IF(E359="Abstract","a",LOWER(_xlfn.CONCAT(LEFT(INDEX(_xlfn.TEXTSPLIT(E359," "),1),1),INDEX(_xlfn.TEXTSPLIT(E359," "),2))))</f>
        <v>s1</v>
      </c>
    </row>
    <row r="360" spans="1:9" x14ac:dyDescent="0.2">
      <c r="A360" t="str">
        <f t="shared" si="5"/>
        <v>macromolecules/5b01293_f1</v>
      </c>
      <c r="B360" t="s">
        <v>20</v>
      </c>
      <c r="C360" s="1" t="s">
        <v>290</v>
      </c>
      <c r="D360" t="s">
        <v>132</v>
      </c>
      <c r="E360" t="s">
        <v>36</v>
      </c>
      <c r="F360" t="s">
        <v>190</v>
      </c>
      <c r="G360">
        <v>2</v>
      </c>
      <c r="H360" t="s">
        <v>280</v>
      </c>
      <c r="I360" t="str" cm="1">
        <f t="array" ref="I360">IF(E360="Abstract","a",LOWER(_xlfn.CONCAT(LEFT(INDEX(_xlfn.TEXTSPLIT(E360," "),1),1),INDEX(_xlfn.TEXTSPLIT(E360," "),2))))</f>
        <v>f1</v>
      </c>
    </row>
    <row r="361" spans="1:9" x14ac:dyDescent="0.2">
      <c r="A361" t="str">
        <f t="shared" si="5"/>
        <v>macromolecules/5b01293_f2</v>
      </c>
      <c r="B361" t="s">
        <v>20</v>
      </c>
      <c r="C361" s="1" t="s">
        <v>290</v>
      </c>
      <c r="D361" t="s">
        <v>132</v>
      </c>
      <c r="E361" t="s">
        <v>37</v>
      </c>
      <c r="F361" t="s">
        <v>190</v>
      </c>
      <c r="G361">
        <v>1</v>
      </c>
      <c r="H361" t="s">
        <v>280</v>
      </c>
      <c r="I361" t="str" cm="1">
        <f t="array" ref="I361">IF(E361="Abstract","a",LOWER(_xlfn.CONCAT(LEFT(INDEX(_xlfn.TEXTSPLIT(E361," "),1),1),INDEX(_xlfn.TEXTSPLIT(E361," "),2))))</f>
        <v>f2</v>
      </c>
    </row>
    <row r="362" spans="1:9" x14ac:dyDescent="0.2">
      <c r="A362" t="str">
        <f t="shared" si="5"/>
        <v>macromolecules/5b01293_f5</v>
      </c>
      <c r="B362" t="s">
        <v>20</v>
      </c>
      <c r="C362" s="1" t="s">
        <v>290</v>
      </c>
      <c r="D362" t="s">
        <v>132</v>
      </c>
      <c r="E362" t="s">
        <v>31</v>
      </c>
      <c r="F362" t="s">
        <v>190</v>
      </c>
      <c r="G362">
        <v>1</v>
      </c>
      <c r="H362" t="s">
        <v>280</v>
      </c>
      <c r="I362" t="str" cm="1">
        <f t="array" ref="I362">IF(E362="Abstract","a",LOWER(_xlfn.CONCAT(LEFT(INDEX(_xlfn.TEXTSPLIT(E362," "),1),1),INDEX(_xlfn.TEXTSPLIT(E362," "),2))))</f>
        <v>f5</v>
      </c>
    </row>
    <row r="363" spans="1:9" x14ac:dyDescent="0.2">
      <c r="A363" t="str">
        <f t="shared" si="5"/>
        <v>macromolecules/5b01293_f6</v>
      </c>
      <c r="B363" t="s">
        <v>20</v>
      </c>
      <c r="C363" s="1" t="s">
        <v>290</v>
      </c>
      <c r="D363" t="s">
        <v>132</v>
      </c>
      <c r="E363" t="s">
        <v>32</v>
      </c>
      <c r="F363" t="s">
        <v>190</v>
      </c>
      <c r="G363">
        <v>2</v>
      </c>
      <c r="H363" t="s">
        <v>280</v>
      </c>
      <c r="I363" t="str" cm="1">
        <f t="array" ref="I363">IF(E363="Abstract","a",LOWER(_xlfn.CONCAT(LEFT(INDEX(_xlfn.TEXTSPLIT(E363," "),1),1),INDEX(_xlfn.TEXTSPLIT(E363," "),2))))</f>
        <v>f6</v>
      </c>
    </row>
    <row r="364" spans="1:9" x14ac:dyDescent="0.2">
      <c r="A364" t="str">
        <f t="shared" si="5"/>
        <v>macromolecules/5b01293_f8</v>
      </c>
      <c r="B364" t="s">
        <v>20</v>
      </c>
      <c r="C364" s="1" t="s">
        <v>290</v>
      </c>
      <c r="D364" t="s">
        <v>132</v>
      </c>
      <c r="E364" t="s">
        <v>72</v>
      </c>
      <c r="F364" t="s">
        <v>190</v>
      </c>
      <c r="G364">
        <v>1</v>
      </c>
      <c r="H364" t="s">
        <v>280</v>
      </c>
      <c r="I364" t="str" cm="1">
        <f t="array" ref="I364">IF(E364="Abstract","a",LOWER(_xlfn.CONCAT(LEFT(INDEX(_xlfn.TEXTSPLIT(E364," "),1),1),INDEX(_xlfn.TEXTSPLIT(E364," "),2))))</f>
        <v>f8</v>
      </c>
    </row>
    <row r="365" spans="1:9" x14ac:dyDescent="0.2">
      <c r="A365" t="str">
        <f t="shared" si="5"/>
        <v>macromolecules/5b01426_f1</v>
      </c>
      <c r="B365" t="s">
        <v>20</v>
      </c>
      <c r="C365" s="1" t="s">
        <v>291</v>
      </c>
      <c r="D365" t="s">
        <v>132</v>
      </c>
      <c r="E365" t="s">
        <v>36</v>
      </c>
      <c r="F365" t="s">
        <v>190</v>
      </c>
      <c r="G365">
        <v>1</v>
      </c>
      <c r="H365" t="s">
        <v>280</v>
      </c>
      <c r="I365" t="str" cm="1">
        <f t="array" ref="I365">IF(E365="Abstract","a",LOWER(_xlfn.CONCAT(LEFT(INDEX(_xlfn.TEXTSPLIT(E365," "),1),1),INDEX(_xlfn.TEXTSPLIT(E365," "),2))))</f>
        <v>f1</v>
      </c>
    </row>
    <row r="366" spans="1:9" x14ac:dyDescent="0.2">
      <c r="A366" t="str">
        <f t="shared" si="5"/>
        <v>macromolecules/5b01994_s2</v>
      </c>
      <c r="B366" t="s">
        <v>20</v>
      </c>
      <c r="C366" s="1" t="s">
        <v>296</v>
      </c>
      <c r="D366" t="s">
        <v>132</v>
      </c>
      <c r="E366" t="s">
        <v>41</v>
      </c>
      <c r="F366" t="s">
        <v>190</v>
      </c>
      <c r="G366">
        <v>1</v>
      </c>
      <c r="H366" t="s">
        <v>280</v>
      </c>
      <c r="I366" t="str" cm="1">
        <f t="array" ref="I366">IF(E366="Abstract","a",LOWER(_xlfn.CONCAT(LEFT(INDEX(_xlfn.TEXTSPLIT(E366," "),1),1),INDEX(_xlfn.TEXTSPLIT(E366," "),2))))</f>
        <v>s2</v>
      </c>
    </row>
    <row r="367" spans="1:9" x14ac:dyDescent="0.2">
      <c r="A367" t="str">
        <f t="shared" si="5"/>
        <v>macromolecules/5b02119_f1</v>
      </c>
      <c r="B367" t="s">
        <v>20</v>
      </c>
      <c r="C367" s="1" t="s">
        <v>292</v>
      </c>
      <c r="D367" t="s">
        <v>132</v>
      </c>
      <c r="E367" t="s">
        <v>36</v>
      </c>
      <c r="F367" t="s">
        <v>190</v>
      </c>
      <c r="G367">
        <v>2</v>
      </c>
      <c r="H367" t="s">
        <v>280</v>
      </c>
      <c r="I367" t="str" cm="1">
        <f t="array" ref="I367">IF(E367="Abstract","a",LOWER(_xlfn.CONCAT(LEFT(INDEX(_xlfn.TEXTSPLIT(E367," "),1),1),INDEX(_xlfn.TEXTSPLIT(E367," "),2))))</f>
        <v>f1</v>
      </c>
    </row>
    <row r="368" spans="1:9" x14ac:dyDescent="0.2">
      <c r="A368" t="str">
        <f t="shared" si="5"/>
        <v>macromolecules/5b02119_f3</v>
      </c>
      <c r="B368" t="s">
        <v>20</v>
      </c>
      <c r="C368" s="1" t="s">
        <v>292</v>
      </c>
      <c r="D368" t="s">
        <v>132</v>
      </c>
      <c r="E368" t="s">
        <v>69</v>
      </c>
      <c r="F368" t="s">
        <v>190</v>
      </c>
      <c r="G368">
        <v>2</v>
      </c>
      <c r="H368" t="s">
        <v>280</v>
      </c>
      <c r="I368" t="str" cm="1">
        <f t="array" ref="I368">IF(E368="Abstract","a",LOWER(_xlfn.CONCAT(LEFT(INDEX(_xlfn.TEXTSPLIT(E368," "),1),1),INDEX(_xlfn.TEXTSPLIT(E368," "),2))))</f>
        <v>f3</v>
      </c>
    </row>
    <row r="369" spans="1:9" x14ac:dyDescent="0.2">
      <c r="A369" t="str">
        <f t="shared" si="5"/>
        <v>macromolecules/5b02152_s1</v>
      </c>
      <c r="B369" t="s">
        <v>20</v>
      </c>
      <c r="C369" s="1" t="s">
        <v>295</v>
      </c>
      <c r="D369" t="s">
        <v>132</v>
      </c>
      <c r="E369" t="s">
        <v>40</v>
      </c>
      <c r="F369" t="s">
        <v>190</v>
      </c>
      <c r="G369">
        <v>7</v>
      </c>
      <c r="H369" t="s">
        <v>280</v>
      </c>
      <c r="I369" t="str" cm="1">
        <f t="array" ref="I369">IF(E369="Abstract","a",LOWER(_xlfn.CONCAT(LEFT(INDEX(_xlfn.TEXTSPLIT(E369," "),1),1),INDEX(_xlfn.TEXTSPLIT(E369," "),2))))</f>
        <v>s1</v>
      </c>
    </row>
    <row r="370" spans="1:9" x14ac:dyDescent="0.2">
      <c r="A370" t="str">
        <f t="shared" si="5"/>
        <v>macromolecules/5b02212_s1</v>
      </c>
      <c r="B370" t="s">
        <v>20</v>
      </c>
      <c r="C370" s="1" t="s">
        <v>293</v>
      </c>
      <c r="D370" t="s">
        <v>132</v>
      </c>
      <c r="E370" t="s">
        <v>40</v>
      </c>
      <c r="F370" t="s">
        <v>190</v>
      </c>
      <c r="G370">
        <v>4</v>
      </c>
      <c r="H370" t="s">
        <v>280</v>
      </c>
      <c r="I370" t="str" cm="1">
        <f t="array" ref="I370">IF(E370="Abstract","a",LOWER(_xlfn.CONCAT(LEFT(INDEX(_xlfn.TEXTSPLIT(E370," "),1),1),INDEX(_xlfn.TEXTSPLIT(E370," "),2))))</f>
        <v>s1</v>
      </c>
    </row>
    <row r="371" spans="1:9" x14ac:dyDescent="0.2">
      <c r="A371" t="str">
        <f t="shared" si="5"/>
        <v>macromolecules/5b02267_a</v>
      </c>
      <c r="B371" t="s">
        <v>20</v>
      </c>
      <c r="C371" s="1" t="s">
        <v>297</v>
      </c>
      <c r="D371" t="s">
        <v>132</v>
      </c>
      <c r="E371" t="s">
        <v>49</v>
      </c>
      <c r="F371" t="s">
        <v>190</v>
      </c>
      <c r="G371">
        <v>6</v>
      </c>
      <c r="H371" t="s">
        <v>280</v>
      </c>
      <c r="I371" t="str" cm="1">
        <f t="array" ref="I371">IF(E371="Abstract","a",LOWER(_xlfn.CONCAT(LEFT(INDEX(_xlfn.TEXTSPLIT(E371," "),1),1),INDEX(_xlfn.TEXTSPLIT(E371," "),2))))</f>
        <v>a</v>
      </c>
    </row>
    <row r="372" spans="1:9" x14ac:dyDescent="0.2">
      <c r="A372" t="str">
        <f t="shared" si="5"/>
        <v>macromolecules/5b02267_s2</v>
      </c>
      <c r="B372" t="s">
        <v>20</v>
      </c>
      <c r="C372" s="1" t="s">
        <v>297</v>
      </c>
      <c r="D372" t="s">
        <v>132</v>
      </c>
      <c r="E372" t="s">
        <v>41</v>
      </c>
      <c r="F372" t="s">
        <v>190</v>
      </c>
      <c r="G372">
        <v>1</v>
      </c>
      <c r="H372" t="s">
        <v>280</v>
      </c>
      <c r="I372" t="str" cm="1">
        <f t="array" ref="I372">IF(E372="Abstract","a",LOWER(_xlfn.CONCAT(LEFT(INDEX(_xlfn.TEXTSPLIT(E372," "),1),1),INDEX(_xlfn.TEXTSPLIT(E372," "),2))))</f>
        <v>s2</v>
      </c>
    </row>
    <row r="373" spans="1:9" x14ac:dyDescent="0.2">
      <c r="A373" t="str">
        <f t="shared" si="5"/>
        <v>macromolecules/5b02385_a</v>
      </c>
      <c r="B373" t="s">
        <v>20</v>
      </c>
      <c r="C373" s="1" t="s">
        <v>294</v>
      </c>
      <c r="D373" t="s">
        <v>132</v>
      </c>
      <c r="E373" t="s">
        <v>49</v>
      </c>
      <c r="F373" t="s">
        <v>190</v>
      </c>
      <c r="G373">
        <v>1</v>
      </c>
      <c r="H373" t="s">
        <v>280</v>
      </c>
      <c r="I373" t="str" cm="1">
        <f t="array" ref="I373">IF(E373="Abstract","a",LOWER(_xlfn.CONCAT(LEFT(INDEX(_xlfn.TEXTSPLIT(E373," "),1),1),INDEX(_xlfn.TEXTSPLIT(E373," "),2))))</f>
        <v>a</v>
      </c>
    </row>
    <row r="374" spans="1:9" x14ac:dyDescent="0.2">
      <c r="A374" t="str">
        <f t="shared" si="5"/>
        <v>macromolecules/5b02385_s1</v>
      </c>
      <c r="B374" t="s">
        <v>20</v>
      </c>
      <c r="C374" s="1" t="s">
        <v>294</v>
      </c>
      <c r="D374" t="s">
        <v>132</v>
      </c>
      <c r="E374" t="s">
        <v>40</v>
      </c>
      <c r="F374" t="s">
        <v>190</v>
      </c>
      <c r="G374">
        <v>1</v>
      </c>
      <c r="H374" t="s">
        <v>280</v>
      </c>
      <c r="I374" t="str" cm="1">
        <f t="array" ref="I374">IF(E374="Abstract","a",LOWER(_xlfn.CONCAT(LEFT(INDEX(_xlfn.TEXTSPLIT(E374," "),1),1),INDEX(_xlfn.TEXTSPLIT(E374," "),2))))</f>
        <v>s1</v>
      </c>
    </row>
    <row r="375" spans="1:9" x14ac:dyDescent="0.2">
      <c r="A375" t="str">
        <f t="shared" si="5"/>
        <v>macromolecules/5b02470_f1</v>
      </c>
      <c r="B375" t="s">
        <v>20</v>
      </c>
      <c r="C375" s="1" t="s">
        <v>298</v>
      </c>
      <c r="D375" t="s">
        <v>132</v>
      </c>
      <c r="E375" t="s">
        <v>36</v>
      </c>
      <c r="F375" t="s">
        <v>190</v>
      </c>
      <c r="G375">
        <v>2</v>
      </c>
      <c r="H375" t="s">
        <v>280</v>
      </c>
      <c r="I375" t="str" cm="1">
        <f t="array" ref="I375">IF(E375="Abstract","a",LOWER(_xlfn.CONCAT(LEFT(INDEX(_xlfn.TEXTSPLIT(E375," "),1),1),INDEX(_xlfn.TEXTSPLIT(E375," "),2))))</f>
        <v>f1</v>
      </c>
    </row>
    <row r="376" spans="1:9" x14ac:dyDescent="0.2">
      <c r="A376" t="str">
        <f t="shared" si="5"/>
        <v>macromolecules/5b02594_s1</v>
      </c>
      <c r="B376" t="s">
        <v>20</v>
      </c>
      <c r="C376" s="1" t="s">
        <v>301</v>
      </c>
      <c r="D376" t="s">
        <v>132</v>
      </c>
      <c r="E376" t="s">
        <v>40</v>
      </c>
      <c r="F376" t="s">
        <v>190</v>
      </c>
      <c r="G376">
        <v>1</v>
      </c>
      <c r="H376" t="s">
        <v>280</v>
      </c>
      <c r="I376" t="str" cm="1">
        <f t="array" ref="I376">IF(E376="Abstract","a",LOWER(_xlfn.CONCAT(LEFT(INDEX(_xlfn.TEXTSPLIT(E376," "),1),1),INDEX(_xlfn.TEXTSPLIT(E376," "),2))))</f>
        <v>s1</v>
      </c>
    </row>
    <row r="377" spans="1:9" x14ac:dyDescent="0.2">
      <c r="A377" t="str">
        <f t="shared" si="5"/>
        <v>macromolecules/5b02602_f2</v>
      </c>
      <c r="B377" t="s">
        <v>20</v>
      </c>
      <c r="C377" s="1" t="s">
        <v>299</v>
      </c>
      <c r="D377" t="s">
        <v>132</v>
      </c>
      <c r="E377" t="s">
        <v>37</v>
      </c>
      <c r="F377" t="s">
        <v>190</v>
      </c>
      <c r="G377">
        <v>21</v>
      </c>
      <c r="H377" t="s">
        <v>280</v>
      </c>
      <c r="I377" t="str" cm="1">
        <f t="array" ref="I377">IF(E377="Abstract","a",LOWER(_xlfn.CONCAT(LEFT(INDEX(_xlfn.TEXTSPLIT(E377," "),1),1),INDEX(_xlfn.TEXTSPLIT(E377," "),2))))</f>
        <v>f2</v>
      </c>
    </row>
    <row r="378" spans="1:9" x14ac:dyDescent="0.2">
      <c r="A378" t="str">
        <f t="shared" si="5"/>
        <v>macromolecules/5b02602_s2</v>
      </c>
      <c r="B378" t="s">
        <v>20</v>
      </c>
      <c r="C378" s="1" t="s">
        <v>299</v>
      </c>
      <c r="D378" t="s">
        <v>132</v>
      </c>
      <c r="E378" t="s">
        <v>41</v>
      </c>
      <c r="F378" t="s">
        <v>190</v>
      </c>
      <c r="G378">
        <v>7</v>
      </c>
      <c r="H378" t="s">
        <v>280</v>
      </c>
      <c r="I378" t="str" cm="1">
        <f t="array" ref="I378">IF(E378="Abstract","a",LOWER(_xlfn.CONCAT(LEFT(INDEX(_xlfn.TEXTSPLIT(E378," "),1),1),INDEX(_xlfn.TEXTSPLIT(E378," "),2))))</f>
        <v>s2</v>
      </c>
    </row>
    <row r="379" spans="1:9" x14ac:dyDescent="0.2">
      <c r="A379" t="str">
        <f t="shared" si="5"/>
        <v>macromolecules/5b02710_f2</v>
      </c>
      <c r="B379" t="s">
        <v>20</v>
      </c>
      <c r="C379" s="1" t="s">
        <v>300</v>
      </c>
      <c r="D379" t="s">
        <v>132</v>
      </c>
      <c r="E379" t="s">
        <v>37</v>
      </c>
      <c r="F379" t="s">
        <v>190</v>
      </c>
      <c r="G379">
        <v>1</v>
      </c>
      <c r="H379" t="s">
        <v>280</v>
      </c>
      <c r="I379" t="str" cm="1">
        <f t="array" ref="I379">IF(E379="Abstract","a",LOWER(_xlfn.CONCAT(LEFT(INDEX(_xlfn.TEXTSPLIT(E379," "),1),1),INDEX(_xlfn.TEXTSPLIT(E379," "),2))))</f>
        <v>f2</v>
      </c>
    </row>
    <row r="380" spans="1:9" x14ac:dyDescent="0.2">
      <c r="A380" t="str">
        <f t="shared" si="5"/>
        <v>macromolecules/5b02710_s1</v>
      </c>
      <c r="B380" t="s">
        <v>20</v>
      </c>
      <c r="C380" s="1" t="s">
        <v>300</v>
      </c>
      <c r="D380" t="s">
        <v>132</v>
      </c>
      <c r="E380" t="s">
        <v>40</v>
      </c>
      <c r="F380" t="s">
        <v>190</v>
      </c>
      <c r="G380">
        <v>3</v>
      </c>
      <c r="H380" t="s">
        <v>280</v>
      </c>
      <c r="I380" t="str" cm="1">
        <f t="array" ref="I380">IF(E380="Abstract","a",LOWER(_xlfn.CONCAT(LEFT(INDEX(_xlfn.TEXTSPLIT(E380," "),1),1),INDEX(_xlfn.TEXTSPLIT(E380," "),2))))</f>
        <v>s1</v>
      </c>
    </row>
    <row r="381" spans="1:9" x14ac:dyDescent="0.2">
      <c r="A381" t="str">
        <f t="shared" si="5"/>
        <v>macromolecules/5b02710_s2</v>
      </c>
      <c r="B381" t="s">
        <v>20</v>
      </c>
      <c r="C381" s="1" t="s">
        <v>300</v>
      </c>
      <c r="D381" t="s">
        <v>132</v>
      </c>
      <c r="E381" t="s">
        <v>41</v>
      </c>
      <c r="F381" t="s">
        <v>190</v>
      </c>
      <c r="G381">
        <v>2</v>
      </c>
      <c r="H381" t="s">
        <v>280</v>
      </c>
      <c r="I381" t="str" cm="1">
        <f t="array" ref="I381">IF(E381="Abstract","a",LOWER(_xlfn.CONCAT(LEFT(INDEX(_xlfn.TEXTSPLIT(E381," "),1),1),INDEX(_xlfn.TEXTSPLIT(E381," "),2))))</f>
        <v>s2</v>
      </c>
    </row>
    <row r="382" spans="1:9" x14ac:dyDescent="0.2">
      <c r="A382" t="str">
        <f t="shared" si="5"/>
        <v>macromolecules/6b00422_f1</v>
      </c>
      <c r="B382" t="s">
        <v>20</v>
      </c>
      <c r="C382" s="1" t="s">
        <v>302</v>
      </c>
      <c r="D382" t="s">
        <v>132</v>
      </c>
      <c r="E382" t="s">
        <v>36</v>
      </c>
      <c r="F382" t="s">
        <v>190</v>
      </c>
      <c r="G382">
        <v>2</v>
      </c>
      <c r="H382" t="s">
        <v>280</v>
      </c>
      <c r="I382" t="str" cm="1">
        <f t="array" ref="I382">IF(E382="Abstract","a",LOWER(_xlfn.CONCAT(LEFT(INDEX(_xlfn.TEXTSPLIT(E382," "),1),1),INDEX(_xlfn.TEXTSPLIT(E382," "),2))))</f>
        <v>f1</v>
      </c>
    </row>
    <row r="383" spans="1:9" x14ac:dyDescent="0.2">
      <c r="A383" t="str">
        <f t="shared" si="5"/>
        <v>macromolecules/6b00422_f6</v>
      </c>
      <c r="B383" t="s">
        <v>20</v>
      </c>
      <c r="C383" s="1" t="s">
        <v>302</v>
      </c>
      <c r="D383" t="s">
        <v>132</v>
      </c>
      <c r="E383" t="s">
        <v>32</v>
      </c>
      <c r="F383" t="s">
        <v>190</v>
      </c>
      <c r="G383">
        <v>2</v>
      </c>
      <c r="H383" t="s">
        <v>280</v>
      </c>
      <c r="I383" t="str" cm="1">
        <f t="array" ref="I383">IF(E383="Abstract","a",LOWER(_xlfn.CONCAT(LEFT(INDEX(_xlfn.TEXTSPLIT(E383," "),1),1),INDEX(_xlfn.TEXTSPLIT(E383," "),2))))</f>
        <v>f6</v>
      </c>
    </row>
    <row r="384" spans="1:9" x14ac:dyDescent="0.2">
      <c r="A384" t="str">
        <f t="shared" si="5"/>
        <v>macromolecules/6b00820_s1</v>
      </c>
      <c r="B384" t="s">
        <v>20</v>
      </c>
      <c r="C384" s="1" t="s">
        <v>303</v>
      </c>
      <c r="D384" t="s">
        <v>132</v>
      </c>
      <c r="E384" t="s">
        <v>40</v>
      </c>
      <c r="F384" t="s">
        <v>190</v>
      </c>
      <c r="G384">
        <v>2</v>
      </c>
      <c r="H384" t="s">
        <v>280</v>
      </c>
      <c r="I384" t="str" cm="1">
        <f t="array" ref="I384">IF(E384="Abstract","a",LOWER(_xlfn.CONCAT(LEFT(INDEX(_xlfn.TEXTSPLIT(E384," "),1),1),INDEX(_xlfn.TEXTSPLIT(E384," "),2))))</f>
        <v>s1</v>
      </c>
    </row>
    <row r="385" spans="1:9" x14ac:dyDescent="0.2">
      <c r="A385" t="str">
        <f t="shared" si="5"/>
        <v>macromolecules/6b00820_s2</v>
      </c>
      <c r="B385" t="s">
        <v>20</v>
      </c>
      <c r="C385" s="1" t="s">
        <v>303</v>
      </c>
      <c r="D385" t="s">
        <v>132</v>
      </c>
      <c r="E385" t="s">
        <v>41</v>
      </c>
      <c r="F385" t="s">
        <v>190</v>
      </c>
      <c r="G385">
        <v>2</v>
      </c>
      <c r="H385" t="s">
        <v>280</v>
      </c>
      <c r="I385" t="str" cm="1">
        <f t="array" ref="I385">IF(E385="Abstract","a",LOWER(_xlfn.CONCAT(LEFT(INDEX(_xlfn.TEXTSPLIT(E385," "),1),1),INDEX(_xlfn.TEXTSPLIT(E385," "),2))))</f>
        <v>s2</v>
      </c>
    </row>
    <row r="386" spans="1:9" x14ac:dyDescent="0.2">
      <c r="A386" t="str">
        <f t="shared" ref="A386:A421" si="6">_xlfn.CONCAT(H386, "/",RIGHT(C386,7),"_",IF(D386="SI","si_",""), I386)</f>
        <v>macromolecules/6b00987_f2</v>
      </c>
      <c r="B386" t="s">
        <v>20</v>
      </c>
      <c r="C386" s="1" t="s">
        <v>304</v>
      </c>
      <c r="D386" t="s">
        <v>132</v>
      </c>
      <c r="E386" t="s">
        <v>37</v>
      </c>
      <c r="F386" t="s">
        <v>190</v>
      </c>
      <c r="G386">
        <v>2</v>
      </c>
      <c r="H386" t="s">
        <v>280</v>
      </c>
      <c r="I386" t="str" cm="1">
        <f t="array" ref="I386">IF(E386="Abstract","a",LOWER(_xlfn.CONCAT(LEFT(INDEX(_xlfn.TEXTSPLIT(E386," "),1),1),INDEX(_xlfn.TEXTSPLIT(E386," "),2))))</f>
        <v>f2</v>
      </c>
    </row>
    <row r="387" spans="1:9" x14ac:dyDescent="0.2">
      <c r="A387" t="str">
        <f t="shared" si="6"/>
        <v>macromolecules/6b01563_s1</v>
      </c>
      <c r="B387" t="s">
        <v>20</v>
      </c>
      <c r="C387" s="1" t="s">
        <v>305</v>
      </c>
      <c r="D387" t="s">
        <v>132</v>
      </c>
      <c r="E387" t="s">
        <v>40</v>
      </c>
      <c r="F387" t="s">
        <v>190</v>
      </c>
      <c r="G387">
        <v>1</v>
      </c>
      <c r="H387" t="s">
        <v>280</v>
      </c>
      <c r="I387" t="str" cm="1">
        <f t="array" ref="I387">IF(E387="Abstract","a",LOWER(_xlfn.CONCAT(LEFT(INDEX(_xlfn.TEXTSPLIT(E387," "),1),1),INDEX(_xlfn.TEXTSPLIT(E387," "),2))))</f>
        <v>s1</v>
      </c>
    </row>
    <row r="388" spans="1:9" x14ac:dyDescent="0.2">
      <c r="A388" t="str">
        <f t="shared" si="6"/>
        <v>macromolecules/6b01729_f1</v>
      </c>
      <c r="B388" t="s">
        <v>20</v>
      </c>
      <c r="C388" s="1" t="s">
        <v>306</v>
      </c>
      <c r="D388" t="s">
        <v>132</v>
      </c>
      <c r="E388" t="s">
        <v>36</v>
      </c>
      <c r="F388" t="s">
        <v>190</v>
      </c>
      <c r="G388">
        <v>4</v>
      </c>
      <c r="H388" t="s">
        <v>280</v>
      </c>
      <c r="I388" t="str" cm="1">
        <f t="array" ref="I388">IF(E388="Abstract","a",LOWER(_xlfn.CONCAT(LEFT(INDEX(_xlfn.TEXTSPLIT(E388," "),1),1),INDEX(_xlfn.TEXTSPLIT(E388," "),2))))</f>
        <v>f1</v>
      </c>
    </row>
    <row r="389" spans="1:9" x14ac:dyDescent="0.2">
      <c r="A389" t="str">
        <f t="shared" si="6"/>
        <v>macromolecules/6b01963_s1</v>
      </c>
      <c r="B389" t="s">
        <v>20</v>
      </c>
      <c r="C389" s="1" t="s">
        <v>307</v>
      </c>
      <c r="D389" t="s">
        <v>132</v>
      </c>
      <c r="E389" t="s">
        <v>40</v>
      </c>
      <c r="F389" t="s">
        <v>190</v>
      </c>
      <c r="G389">
        <v>5</v>
      </c>
      <c r="H389" t="s">
        <v>280</v>
      </c>
      <c r="I389" t="str" cm="1">
        <f t="array" ref="I389">IF(E389="Abstract","a",LOWER(_xlfn.CONCAT(LEFT(INDEX(_xlfn.TEXTSPLIT(E389," "),1),1),INDEX(_xlfn.TEXTSPLIT(E389," "),2))))</f>
        <v>s1</v>
      </c>
    </row>
    <row r="390" spans="1:9" x14ac:dyDescent="0.2">
      <c r="A390" t="str">
        <f t="shared" si="6"/>
        <v>macromolecules/6b01963_s2</v>
      </c>
      <c r="B390" t="s">
        <v>20</v>
      </c>
      <c r="C390" s="1" t="s">
        <v>307</v>
      </c>
      <c r="D390" t="s">
        <v>132</v>
      </c>
      <c r="E390" t="s">
        <v>41</v>
      </c>
      <c r="F390" t="s">
        <v>190</v>
      </c>
      <c r="G390">
        <v>1</v>
      </c>
      <c r="H390" t="s">
        <v>280</v>
      </c>
      <c r="I390" t="str" cm="1">
        <f t="array" ref="I390">IF(E390="Abstract","a",LOWER(_xlfn.CONCAT(LEFT(INDEX(_xlfn.TEXTSPLIT(E390," "),1),1),INDEX(_xlfn.TEXTSPLIT(E390," "),2))))</f>
        <v>s2</v>
      </c>
    </row>
    <row r="391" spans="1:9" x14ac:dyDescent="0.2">
      <c r="A391" t="str">
        <f t="shared" si="6"/>
        <v>macromolecules/6b02309_s1</v>
      </c>
      <c r="B391" t="s">
        <v>20</v>
      </c>
      <c r="C391" s="1" t="s">
        <v>308</v>
      </c>
      <c r="D391" t="s">
        <v>132</v>
      </c>
      <c r="E391" t="s">
        <v>40</v>
      </c>
      <c r="F391" t="s">
        <v>190</v>
      </c>
      <c r="G391">
        <v>2</v>
      </c>
      <c r="H391" t="s">
        <v>280</v>
      </c>
      <c r="I391" t="str" cm="1">
        <f t="array" ref="I391">IF(E391="Abstract","a",LOWER(_xlfn.CONCAT(LEFT(INDEX(_xlfn.TEXTSPLIT(E391," "),1),1),INDEX(_xlfn.TEXTSPLIT(E391," "),2))))</f>
        <v>s1</v>
      </c>
    </row>
    <row r="392" spans="1:9" x14ac:dyDescent="0.2">
      <c r="A392" t="str">
        <f t="shared" si="6"/>
        <v>macromolecules/6b02643_f5</v>
      </c>
      <c r="B392" t="s">
        <v>20</v>
      </c>
      <c r="C392" s="1" t="s">
        <v>309</v>
      </c>
      <c r="D392" t="s">
        <v>132</v>
      </c>
      <c r="E392" t="s">
        <v>31</v>
      </c>
      <c r="F392" t="s">
        <v>190</v>
      </c>
      <c r="G392">
        <v>2</v>
      </c>
      <c r="H392" t="s">
        <v>280</v>
      </c>
      <c r="I392" t="str" cm="1">
        <f t="array" ref="I392">IF(E392="Abstract","a",LOWER(_xlfn.CONCAT(LEFT(INDEX(_xlfn.TEXTSPLIT(E392," "),1),1),INDEX(_xlfn.TEXTSPLIT(E392," "),2))))</f>
        <v>f5</v>
      </c>
    </row>
    <row r="393" spans="1:9" x14ac:dyDescent="0.2">
      <c r="A393" t="str">
        <f t="shared" si="6"/>
        <v>macromolecules/6b02643_f6</v>
      </c>
      <c r="B393" t="s">
        <v>20</v>
      </c>
      <c r="C393" s="1" t="s">
        <v>309</v>
      </c>
      <c r="D393" t="s">
        <v>132</v>
      </c>
      <c r="E393" t="s">
        <v>32</v>
      </c>
      <c r="F393" t="s">
        <v>190</v>
      </c>
      <c r="G393">
        <v>2</v>
      </c>
      <c r="H393" t="s">
        <v>280</v>
      </c>
      <c r="I393" t="str" cm="1">
        <f t="array" ref="I393">IF(E393="Abstract","a",LOWER(_xlfn.CONCAT(LEFT(INDEX(_xlfn.TEXTSPLIT(E393," "),1),1),INDEX(_xlfn.TEXTSPLIT(E393," "),2))))</f>
        <v>f6</v>
      </c>
    </row>
    <row r="394" spans="1:9" x14ac:dyDescent="0.2">
      <c r="A394" t="str">
        <f t="shared" si="6"/>
        <v>macromolecules/6b02643_s1</v>
      </c>
      <c r="B394" t="s">
        <v>20</v>
      </c>
      <c r="C394" s="1" t="s">
        <v>309</v>
      </c>
      <c r="D394" t="s">
        <v>132</v>
      </c>
      <c r="E394" t="s">
        <v>40</v>
      </c>
      <c r="F394" t="s">
        <v>190</v>
      </c>
      <c r="G394">
        <v>2</v>
      </c>
      <c r="H394" t="s">
        <v>280</v>
      </c>
      <c r="I394" t="str" cm="1">
        <f t="array" ref="I394">IF(E394="Abstract","a",LOWER(_xlfn.CONCAT(LEFT(INDEX(_xlfn.TEXTSPLIT(E394," "),1),1),INDEX(_xlfn.TEXTSPLIT(E394," "),2))))</f>
        <v>s1</v>
      </c>
    </row>
    <row r="395" spans="1:9" x14ac:dyDescent="0.2">
      <c r="A395" t="str">
        <f t="shared" si="6"/>
        <v>macromolecules/6b02643_s2</v>
      </c>
      <c r="B395" t="s">
        <v>20</v>
      </c>
      <c r="C395" s="1" t="s">
        <v>309</v>
      </c>
      <c r="D395" t="s">
        <v>132</v>
      </c>
      <c r="E395" t="s">
        <v>41</v>
      </c>
      <c r="F395" t="s">
        <v>190</v>
      </c>
      <c r="G395">
        <v>2</v>
      </c>
      <c r="H395" t="s">
        <v>280</v>
      </c>
      <c r="I395" t="str" cm="1">
        <f t="array" ref="I395">IF(E395="Abstract","a",LOWER(_xlfn.CONCAT(LEFT(INDEX(_xlfn.TEXTSPLIT(E395," "),1),1),INDEX(_xlfn.TEXTSPLIT(E395," "),2))))</f>
        <v>s2</v>
      </c>
    </row>
    <row r="396" spans="1:9" x14ac:dyDescent="0.2">
      <c r="A396" t="str">
        <f t="shared" si="6"/>
        <v>macromolecules/6b02727_a</v>
      </c>
      <c r="B396" t="s">
        <v>20</v>
      </c>
      <c r="C396" s="1" t="s">
        <v>310</v>
      </c>
      <c r="D396" t="s">
        <v>132</v>
      </c>
      <c r="E396" t="s">
        <v>49</v>
      </c>
      <c r="F396" t="s">
        <v>190</v>
      </c>
      <c r="G396">
        <v>2</v>
      </c>
      <c r="H396" t="s">
        <v>280</v>
      </c>
      <c r="I396" t="str" cm="1">
        <f t="array" ref="I396">IF(E396="Abstract","a",LOWER(_xlfn.CONCAT(LEFT(INDEX(_xlfn.TEXTSPLIT(E396," "),1),1),INDEX(_xlfn.TEXTSPLIT(E396," "),2))))</f>
        <v>a</v>
      </c>
    </row>
    <row r="397" spans="1:9" x14ac:dyDescent="0.2">
      <c r="A397" t="str">
        <f t="shared" si="6"/>
        <v>macromolecules/7b00319_f1</v>
      </c>
      <c r="B397" t="s">
        <v>20</v>
      </c>
      <c r="C397" s="1" t="s">
        <v>311</v>
      </c>
      <c r="D397" t="s">
        <v>132</v>
      </c>
      <c r="E397" t="s">
        <v>36</v>
      </c>
      <c r="F397" t="s">
        <v>188</v>
      </c>
      <c r="G397">
        <v>3</v>
      </c>
      <c r="H397" t="s">
        <v>280</v>
      </c>
      <c r="I397" t="str" cm="1">
        <f t="array" ref="I397">IF(E397="Abstract","a",LOWER(_xlfn.CONCAT(LEFT(INDEX(_xlfn.TEXTSPLIT(E397," "),1),1),INDEX(_xlfn.TEXTSPLIT(E397," "),2))))</f>
        <v>f1</v>
      </c>
    </row>
    <row r="398" spans="1:9" x14ac:dyDescent="0.2">
      <c r="A398" t="str">
        <f t="shared" si="6"/>
        <v>macromolecules/7b00475_f1</v>
      </c>
      <c r="B398" t="s">
        <v>20</v>
      </c>
      <c r="C398" s="1" t="s">
        <v>312</v>
      </c>
      <c r="D398" t="s">
        <v>132</v>
      </c>
      <c r="E398" t="s">
        <v>36</v>
      </c>
      <c r="F398" t="s">
        <v>190</v>
      </c>
      <c r="G398">
        <v>1</v>
      </c>
      <c r="H398" t="s">
        <v>280</v>
      </c>
      <c r="I398" t="str" cm="1">
        <f t="array" ref="I398">IF(E398="Abstract","a",LOWER(_xlfn.CONCAT(LEFT(INDEX(_xlfn.TEXTSPLIT(E398," "),1),1),INDEX(_xlfn.TEXTSPLIT(E398," "),2))))</f>
        <v>f1</v>
      </c>
    </row>
    <row r="399" spans="1:9" x14ac:dyDescent="0.2">
      <c r="A399" t="str">
        <f t="shared" si="6"/>
        <v>macromolecules/7b01005_f1</v>
      </c>
      <c r="B399" t="s">
        <v>20</v>
      </c>
      <c r="C399" s="1" t="s">
        <v>313</v>
      </c>
      <c r="D399" t="s">
        <v>132</v>
      </c>
      <c r="E399" t="s">
        <v>36</v>
      </c>
      <c r="F399" t="s">
        <v>190</v>
      </c>
      <c r="G399">
        <v>1</v>
      </c>
      <c r="H399" t="s">
        <v>280</v>
      </c>
      <c r="I399" t="str" cm="1">
        <f t="array" ref="I399">IF(E399="Abstract","a",LOWER(_xlfn.CONCAT(LEFT(INDEX(_xlfn.TEXTSPLIT(E399," "),1),1),INDEX(_xlfn.TEXTSPLIT(E399," "),2))))</f>
        <v>f1</v>
      </c>
    </row>
    <row r="400" spans="1:9" x14ac:dyDescent="0.2">
      <c r="A400" t="str">
        <f t="shared" si="6"/>
        <v>macromolecules/7b01475_s2</v>
      </c>
      <c r="B400" t="s">
        <v>20</v>
      </c>
      <c r="C400" s="1" t="s">
        <v>315</v>
      </c>
      <c r="D400" t="s">
        <v>132</v>
      </c>
      <c r="E400" t="s">
        <v>41</v>
      </c>
      <c r="F400" t="s">
        <v>188</v>
      </c>
      <c r="G400">
        <v>3</v>
      </c>
      <c r="H400" t="s">
        <v>280</v>
      </c>
      <c r="I400" t="str" cm="1">
        <f t="array" ref="I400">IF(E400="Abstract","a",LOWER(_xlfn.CONCAT(LEFT(INDEX(_xlfn.TEXTSPLIT(E400," "),1),1),INDEX(_xlfn.TEXTSPLIT(E400," "),2))))</f>
        <v>s2</v>
      </c>
    </row>
    <row r="401" spans="1:9" x14ac:dyDescent="0.2">
      <c r="A401" t="str">
        <f t="shared" si="6"/>
        <v>macromolecules/7b01769_s1</v>
      </c>
      <c r="B401" t="s">
        <v>20</v>
      </c>
      <c r="C401" s="1" t="s">
        <v>314</v>
      </c>
      <c r="D401" t="s">
        <v>132</v>
      </c>
      <c r="E401" t="s">
        <v>40</v>
      </c>
      <c r="F401" t="s">
        <v>188</v>
      </c>
      <c r="G401">
        <v>2</v>
      </c>
      <c r="H401" t="s">
        <v>280</v>
      </c>
      <c r="I401" t="str" cm="1">
        <f t="array" ref="I401">IF(E401="Abstract","a",LOWER(_xlfn.CONCAT(LEFT(INDEX(_xlfn.TEXTSPLIT(E401," "),1),1),INDEX(_xlfn.TEXTSPLIT(E401," "),2))))</f>
        <v>s1</v>
      </c>
    </row>
    <row r="402" spans="1:9" x14ac:dyDescent="0.2">
      <c r="A402" t="str">
        <f t="shared" si="6"/>
        <v>macromolecules/7b01832_s1</v>
      </c>
      <c r="B402" t="s">
        <v>20</v>
      </c>
      <c r="C402" s="1" t="s">
        <v>317</v>
      </c>
      <c r="D402" t="s">
        <v>132</v>
      </c>
      <c r="E402" t="s">
        <v>40</v>
      </c>
      <c r="F402" t="s">
        <v>188</v>
      </c>
      <c r="G402">
        <v>1</v>
      </c>
      <c r="H402" t="s">
        <v>280</v>
      </c>
      <c r="I402" t="str" cm="1">
        <f t="array" ref="I402">IF(E402="Abstract","a",LOWER(_xlfn.CONCAT(LEFT(INDEX(_xlfn.TEXTSPLIT(E402," "),1),1),INDEX(_xlfn.TEXTSPLIT(E402," "),2))))</f>
        <v>s1</v>
      </c>
    </row>
    <row r="403" spans="1:9" x14ac:dyDescent="0.2">
      <c r="A403" t="str">
        <f t="shared" si="6"/>
        <v>macromolecules/7b02030_f1</v>
      </c>
      <c r="B403" t="s">
        <v>20</v>
      </c>
      <c r="C403" s="1" t="s">
        <v>318</v>
      </c>
      <c r="D403" t="s">
        <v>132</v>
      </c>
      <c r="E403" t="s">
        <v>36</v>
      </c>
      <c r="F403" t="s">
        <v>190</v>
      </c>
      <c r="G403">
        <v>6</v>
      </c>
      <c r="H403" t="s">
        <v>280</v>
      </c>
      <c r="I403" t="str" cm="1">
        <f t="array" ref="I403">IF(E403="Abstract","a",LOWER(_xlfn.CONCAT(LEFT(INDEX(_xlfn.TEXTSPLIT(E403," "),1),1),INDEX(_xlfn.TEXTSPLIT(E403," "),2))))</f>
        <v>f1</v>
      </c>
    </row>
    <row r="404" spans="1:9" x14ac:dyDescent="0.2">
      <c r="A404" t="str">
        <f t="shared" si="6"/>
        <v>macromolecules/7b02136_f1</v>
      </c>
      <c r="B404" t="s">
        <v>20</v>
      </c>
      <c r="C404" s="1" t="s">
        <v>316</v>
      </c>
      <c r="D404" t="s">
        <v>132</v>
      </c>
      <c r="E404" t="s">
        <v>36</v>
      </c>
      <c r="F404" t="s">
        <v>190</v>
      </c>
      <c r="G404">
        <v>5</v>
      </c>
      <c r="H404" t="s">
        <v>280</v>
      </c>
      <c r="I404" t="str" cm="1">
        <f t="array" ref="I404">IF(E404="Abstract","a",LOWER(_xlfn.CONCAT(LEFT(INDEX(_xlfn.TEXTSPLIT(E404," "),1),1),INDEX(_xlfn.TEXTSPLIT(E404," "),2))))</f>
        <v>f1</v>
      </c>
    </row>
    <row r="405" spans="1:9" x14ac:dyDescent="0.2">
      <c r="A405" t="str">
        <f t="shared" si="6"/>
        <v>macromolecules/7b02136_s1</v>
      </c>
      <c r="B405" t="s">
        <v>20</v>
      </c>
      <c r="C405" s="1" t="s">
        <v>316</v>
      </c>
      <c r="D405" t="s">
        <v>132</v>
      </c>
      <c r="E405" t="s">
        <v>40</v>
      </c>
      <c r="F405" t="s">
        <v>190</v>
      </c>
      <c r="G405">
        <v>1</v>
      </c>
      <c r="H405" t="s">
        <v>280</v>
      </c>
      <c r="I405" t="str" cm="1">
        <f t="array" ref="I405">IF(E405="Abstract","a",LOWER(_xlfn.CONCAT(LEFT(INDEX(_xlfn.TEXTSPLIT(E405," "),1),1),INDEX(_xlfn.TEXTSPLIT(E405," "),2))))</f>
        <v>s1</v>
      </c>
    </row>
    <row r="406" spans="1:9" x14ac:dyDescent="0.2">
      <c r="A406" t="str">
        <f t="shared" si="6"/>
        <v>macromolecules/7b02288_f1</v>
      </c>
      <c r="B406" t="s">
        <v>20</v>
      </c>
      <c r="C406" s="1" t="s">
        <v>347</v>
      </c>
      <c r="D406" t="s">
        <v>132</v>
      </c>
      <c r="E406" t="s">
        <v>36</v>
      </c>
      <c r="F406" t="s">
        <v>190</v>
      </c>
      <c r="G406">
        <v>1</v>
      </c>
      <c r="H406" t="s">
        <v>280</v>
      </c>
      <c r="I406" t="str" cm="1">
        <f t="array" ref="I406">IF(E406="Abstract","a",LOWER(_xlfn.CONCAT(LEFT(INDEX(_xlfn.TEXTSPLIT(E406," "),1),1),INDEX(_xlfn.TEXTSPLIT(E406," "),2))))</f>
        <v>f1</v>
      </c>
    </row>
    <row r="407" spans="1:9" x14ac:dyDescent="0.2">
      <c r="A407" t="str">
        <f t="shared" si="6"/>
        <v>macromolecules/7b02457_s1</v>
      </c>
      <c r="B407" t="s">
        <v>20</v>
      </c>
      <c r="C407" s="1" t="s">
        <v>346</v>
      </c>
      <c r="D407" t="s">
        <v>132</v>
      </c>
      <c r="E407" t="s">
        <v>40</v>
      </c>
      <c r="F407" t="s">
        <v>190</v>
      </c>
      <c r="G407">
        <v>3</v>
      </c>
      <c r="H407" t="s">
        <v>280</v>
      </c>
      <c r="I407" t="str" cm="1">
        <f t="array" ref="I407">IF(E407="Abstract","a",LOWER(_xlfn.CONCAT(LEFT(INDEX(_xlfn.TEXTSPLIT(E407," "),1),1),INDEX(_xlfn.TEXTSPLIT(E407," "),2))))</f>
        <v>s1</v>
      </c>
    </row>
    <row r="408" spans="1:9" x14ac:dyDescent="0.2">
      <c r="A408" t="str">
        <f t="shared" si="6"/>
        <v>macromolecules/7b02457_s2</v>
      </c>
      <c r="B408" t="s">
        <v>20</v>
      </c>
      <c r="C408" s="1" t="s">
        <v>346</v>
      </c>
      <c r="D408" t="s">
        <v>132</v>
      </c>
      <c r="E408" t="s">
        <v>41</v>
      </c>
      <c r="F408" t="s">
        <v>190</v>
      </c>
      <c r="G408">
        <v>1</v>
      </c>
      <c r="H408" t="s">
        <v>280</v>
      </c>
      <c r="I408" t="str" cm="1">
        <f t="array" ref="I408">IF(E408="Abstract","a",LOWER(_xlfn.CONCAT(LEFT(INDEX(_xlfn.TEXTSPLIT(E408," "),1),1),INDEX(_xlfn.TEXTSPLIT(E408," "),2))))</f>
        <v>s2</v>
      </c>
    </row>
    <row r="409" spans="1:9" x14ac:dyDescent="0.2">
      <c r="A409" t="str">
        <f t="shared" si="6"/>
        <v>macromolecules/7b02610_s1</v>
      </c>
      <c r="B409" t="s">
        <v>20</v>
      </c>
      <c r="C409" s="1" t="s">
        <v>352</v>
      </c>
      <c r="D409" t="s">
        <v>132</v>
      </c>
      <c r="E409" t="s">
        <v>40</v>
      </c>
      <c r="F409" t="s">
        <v>188</v>
      </c>
      <c r="G409">
        <v>3</v>
      </c>
      <c r="H409" t="s">
        <v>280</v>
      </c>
      <c r="I409" t="str" cm="1">
        <f t="array" ref="I409">IF(E409="Abstract","a",LOWER(_xlfn.CONCAT(LEFT(INDEX(_xlfn.TEXTSPLIT(E409," "),1),1),INDEX(_xlfn.TEXTSPLIT(E409," "),2))))</f>
        <v>s1</v>
      </c>
    </row>
    <row r="410" spans="1:9" x14ac:dyDescent="0.2">
      <c r="A410" t="str">
        <f t="shared" si="6"/>
        <v>macromolecules/8b00178_s1</v>
      </c>
      <c r="B410" t="s">
        <v>20</v>
      </c>
      <c r="C410" s="1" t="s">
        <v>348</v>
      </c>
      <c r="D410" t="s">
        <v>132</v>
      </c>
      <c r="E410" t="s">
        <v>40</v>
      </c>
      <c r="F410" t="s">
        <v>190</v>
      </c>
      <c r="G410">
        <v>1</v>
      </c>
      <c r="H410" t="s">
        <v>280</v>
      </c>
      <c r="I410" t="str" cm="1">
        <f t="array" ref="I410">IF(E410="Abstract","a",LOWER(_xlfn.CONCAT(LEFT(INDEX(_xlfn.TEXTSPLIT(E410," "),1),1),INDEX(_xlfn.TEXTSPLIT(E410," "),2))))</f>
        <v>s1</v>
      </c>
    </row>
    <row r="411" spans="1:9" x14ac:dyDescent="0.2">
      <c r="A411" t="str">
        <f t="shared" si="6"/>
        <v>macromolecules/8b00294_f7</v>
      </c>
      <c r="B411" t="s">
        <v>20</v>
      </c>
      <c r="C411" s="1" t="s">
        <v>349</v>
      </c>
      <c r="D411" t="s">
        <v>132</v>
      </c>
      <c r="E411" t="s">
        <v>33</v>
      </c>
      <c r="F411" t="s">
        <v>190</v>
      </c>
      <c r="G411">
        <v>3</v>
      </c>
      <c r="H411" t="s">
        <v>280</v>
      </c>
      <c r="I411" t="str" cm="1">
        <f t="array" ref="I411">IF(E411="Abstract","a",LOWER(_xlfn.CONCAT(LEFT(INDEX(_xlfn.TEXTSPLIT(E411," "),1),1),INDEX(_xlfn.TEXTSPLIT(E411," "),2))))</f>
        <v>f7</v>
      </c>
    </row>
    <row r="412" spans="1:9" x14ac:dyDescent="0.2">
      <c r="A412" t="str">
        <f t="shared" si="6"/>
        <v>macromolecules/8b00294_s1</v>
      </c>
      <c r="B412" t="s">
        <v>20</v>
      </c>
      <c r="C412" s="1" t="s">
        <v>349</v>
      </c>
      <c r="D412" t="s">
        <v>132</v>
      </c>
      <c r="E412" t="s">
        <v>40</v>
      </c>
      <c r="F412" t="s">
        <v>190</v>
      </c>
      <c r="G412">
        <v>2</v>
      </c>
      <c r="H412" t="s">
        <v>280</v>
      </c>
      <c r="I412" t="str" cm="1">
        <f t="array" ref="I412">IF(E412="Abstract","a",LOWER(_xlfn.CONCAT(LEFT(INDEX(_xlfn.TEXTSPLIT(E412," "),1),1),INDEX(_xlfn.TEXTSPLIT(E412," "),2))))</f>
        <v>s1</v>
      </c>
    </row>
    <row r="413" spans="1:9" x14ac:dyDescent="0.2">
      <c r="A413" t="str">
        <f t="shared" si="6"/>
        <v>macromolecules/8b00715_s1</v>
      </c>
      <c r="B413" t="s">
        <v>20</v>
      </c>
      <c r="C413" s="1" t="s">
        <v>350</v>
      </c>
      <c r="D413" t="s">
        <v>132</v>
      </c>
      <c r="E413" t="s">
        <v>40</v>
      </c>
      <c r="F413" t="s">
        <v>190</v>
      </c>
      <c r="G413">
        <v>1</v>
      </c>
      <c r="H413" t="s">
        <v>280</v>
      </c>
      <c r="I413" t="str" cm="1">
        <f t="array" ref="I413">IF(E413="Abstract","a",LOWER(_xlfn.CONCAT(LEFT(INDEX(_xlfn.TEXTSPLIT(E413," "),1),1),INDEX(_xlfn.TEXTSPLIT(E413," "),2))))</f>
        <v>s1</v>
      </c>
    </row>
    <row r="414" spans="1:9" x14ac:dyDescent="0.2">
      <c r="A414" t="str">
        <f t="shared" si="6"/>
        <v>macromolecules/8b00772_s1</v>
      </c>
      <c r="B414" t="s">
        <v>20</v>
      </c>
      <c r="C414" s="1" t="s">
        <v>351</v>
      </c>
      <c r="D414" t="s">
        <v>132</v>
      </c>
      <c r="E414" t="s">
        <v>40</v>
      </c>
      <c r="F414" t="s">
        <v>188</v>
      </c>
      <c r="G414">
        <v>1</v>
      </c>
      <c r="H414" t="s">
        <v>280</v>
      </c>
      <c r="I414" t="str" cm="1">
        <f t="array" ref="I414">IF(E414="Abstract","a",LOWER(_xlfn.CONCAT(LEFT(INDEX(_xlfn.TEXTSPLIT(E414," "),1),1),INDEX(_xlfn.TEXTSPLIT(E414," "),2))))</f>
        <v>s1</v>
      </c>
    </row>
    <row r="415" spans="1:9" x14ac:dyDescent="0.2">
      <c r="A415" t="str">
        <f t="shared" si="6"/>
        <v>macromolecules/8b01077_f1</v>
      </c>
      <c r="B415" t="s">
        <v>20</v>
      </c>
      <c r="C415" s="1" t="s">
        <v>354</v>
      </c>
      <c r="D415" t="s">
        <v>132</v>
      </c>
      <c r="E415" t="s">
        <v>36</v>
      </c>
      <c r="F415" t="s">
        <v>188</v>
      </c>
      <c r="G415">
        <v>1</v>
      </c>
      <c r="H415" t="s">
        <v>280</v>
      </c>
      <c r="I415" t="str" cm="1">
        <f t="array" ref="I415">IF(E415="Abstract","a",LOWER(_xlfn.CONCAT(LEFT(INDEX(_xlfn.TEXTSPLIT(E415," "),1),1),INDEX(_xlfn.TEXTSPLIT(E415," "),2))))</f>
        <v>f1</v>
      </c>
    </row>
    <row r="416" spans="1:9" x14ac:dyDescent="0.2">
      <c r="A416" t="str">
        <f t="shared" si="6"/>
        <v>macromolecules/8b01077_f5</v>
      </c>
      <c r="B416" t="s">
        <v>20</v>
      </c>
      <c r="C416" s="1" t="s">
        <v>354</v>
      </c>
      <c r="D416" t="s">
        <v>132</v>
      </c>
      <c r="E416" t="s">
        <v>31</v>
      </c>
      <c r="F416" t="s">
        <v>188</v>
      </c>
      <c r="G416">
        <v>2</v>
      </c>
      <c r="H416" t="s">
        <v>280</v>
      </c>
      <c r="I416" t="str" cm="1">
        <f t="array" ref="I416">IF(E416="Abstract","a",LOWER(_xlfn.CONCAT(LEFT(INDEX(_xlfn.TEXTSPLIT(E416," "),1),1),INDEX(_xlfn.TEXTSPLIT(E416," "),2))))</f>
        <v>f5</v>
      </c>
    </row>
    <row r="417" spans="1:9" x14ac:dyDescent="0.2">
      <c r="A417" t="str">
        <f t="shared" si="6"/>
        <v>macromolecules/8b01150_s2</v>
      </c>
      <c r="B417" t="s">
        <v>20</v>
      </c>
      <c r="C417" s="1" t="s">
        <v>356</v>
      </c>
      <c r="D417" t="s">
        <v>132</v>
      </c>
      <c r="E417" t="s">
        <v>41</v>
      </c>
      <c r="F417" t="s">
        <v>188</v>
      </c>
      <c r="G417">
        <v>2</v>
      </c>
      <c r="H417" t="s">
        <v>280</v>
      </c>
      <c r="I417" t="str" cm="1">
        <f t="array" ref="I417">IF(E417="Abstract","a",LOWER(_xlfn.CONCAT(LEFT(INDEX(_xlfn.TEXTSPLIT(E417," "),1),1),INDEX(_xlfn.TEXTSPLIT(E417," "),2))))</f>
        <v>s2</v>
      </c>
    </row>
    <row r="418" spans="1:9" x14ac:dyDescent="0.2">
      <c r="A418" t="str">
        <f t="shared" si="6"/>
        <v>macromolecules/8b01224_f3</v>
      </c>
      <c r="B418" t="s">
        <v>20</v>
      </c>
      <c r="C418" s="1" t="s">
        <v>353</v>
      </c>
      <c r="D418" t="s">
        <v>132</v>
      </c>
      <c r="E418" t="s">
        <v>69</v>
      </c>
      <c r="F418" t="s">
        <v>190</v>
      </c>
      <c r="G418">
        <v>2</v>
      </c>
      <c r="H418" t="s">
        <v>280</v>
      </c>
      <c r="I418" t="str" cm="1">
        <f t="array" ref="I418">IF(E418="Abstract","a",LOWER(_xlfn.CONCAT(LEFT(INDEX(_xlfn.TEXTSPLIT(E418," "),1),1),INDEX(_xlfn.TEXTSPLIT(E418," "),2))))</f>
        <v>f3</v>
      </c>
    </row>
    <row r="419" spans="1:9" x14ac:dyDescent="0.2">
      <c r="A419" t="str">
        <f t="shared" si="6"/>
        <v>macromolecules/8b01224_s1</v>
      </c>
      <c r="B419" t="s">
        <v>20</v>
      </c>
      <c r="C419" s="1" t="s">
        <v>353</v>
      </c>
      <c r="D419" t="s">
        <v>132</v>
      </c>
      <c r="E419" t="s">
        <v>40</v>
      </c>
      <c r="F419" t="s">
        <v>190</v>
      </c>
      <c r="G419">
        <v>3</v>
      </c>
      <c r="H419" t="s">
        <v>280</v>
      </c>
      <c r="I419" t="str" cm="1">
        <f t="array" ref="I419">IF(E419="Abstract","a",LOWER(_xlfn.CONCAT(LEFT(INDEX(_xlfn.TEXTSPLIT(E419," "),1),1),INDEX(_xlfn.TEXTSPLIT(E419," "),2))))</f>
        <v>s1</v>
      </c>
    </row>
    <row r="420" spans="1:9" x14ac:dyDescent="0.2">
      <c r="A420" t="str">
        <f t="shared" si="6"/>
        <v>macromolecules/8b01251_f1</v>
      </c>
      <c r="B420" t="s">
        <v>20</v>
      </c>
      <c r="C420" s="1" t="s">
        <v>355</v>
      </c>
      <c r="D420" t="s">
        <v>132</v>
      </c>
      <c r="E420" t="s">
        <v>36</v>
      </c>
      <c r="F420" t="s">
        <v>190</v>
      </c>
      <c r="G420">
        <v>1</v>
      </c>
      <c r="H420" t="s">
        <v>280</v>
      </c>
      <c r="I420" t="str" cm="1">
        <f t="array" ref="I420">IF(E420="Abstract","a",LOWER(_xlfn.CONCAT(LEFT(INDEX(_xlfn.TEXTSPLIT(E420," "),1),1),INDEX(_xlfn.TEXTSPLIT(E420," "),2))))</f>
        <v>f1</v>
      </c>
    </row>
    <row r="421" spans="1:9" x14ac:dyDescent="0.2">
      <c r="A421" t="str">
        <f t="shared" si="6"/>
        <v>macromolecules/8b01251_f4</v>
      </c>
      <c r="B421" t="s">
        <v>20</v>
      </c>
      <c r="C421" s="1" t="s">
        <v>355</v>
      </c>
      <c r="D421" t="s">
        <v>132</v>
      </c>
      <c r="E421" t="s">
        <v>34</v>
      </c>
      <c r="F421" t="s">
        <v>190</v>
      </c>
      <c r="G421">
        <v>1</v>
      </c>
      <c r="H421" t="s">
        <v>280</v>
      </c>
      <c r="I421" t="str" cm="1">
        <f t="array" ref="I421">IF(E421="Abstract","a",LOWER(_xlfn.CONCAT(LEFT(INDEX(_xlfn.TEXTSPLIT(E421," "),1),1),INDEX(_xlfn.TEXTSPLIT(E421," "),2))))</f>
        <v>f4</v>
      </c>
    </row>
  </sheetData>
  <autoFilter ref="A1:I1" xr:uid="{94A2BEE4-4C04-B140-8D4F-93E65A4F94B7}">
    <sortState xmlns:xlrd2="http://schemas.microsoft.com/office/spreadsheetml/2017/richdata2" ref="A2:I422">
      <sortCondition ref="A1:A422"/>
    </sortState>
  </autoFilter>
  <phoneticPr fontId="2" type="noConversion"/>
  <hyperlinks>
    <hyperlink ref="C144" r:id="rId1" tooltip="DOI URL" xr:uid="{87C7489E-D34C-184D-90FC-BD97A41D98A1}"/>
    <hyperlink ref="C137" r:id="rId2" tooltip="DOI URL" xr:uid="{735E9CFE-68A8-5645-9AD8-08E639FFD795}"/>
    <hyperlink ref="C138" r:id="rId3" tooltip="DOI URL" xr:uid="{2E582219-A992-0142-8F9D-6F529CCD39F8}"/>
    <hyperlink ref="C139" r:id="rId4" tooltip="DOI URL" xr:uid="{E3C39F92-E6D9-3E42-855C-28D3C82071B6}"/>
    <hyperlink ref="C140" r:id="rId5" tooltip="DOI URL" xr:uid="{D4000FC8-ACAF-D949-B862-A427ECBC1135}"/>
    <hyperlink ref="C141" r:id="rId6" tooltip="DOI URL" xr:uid="{1BC4CE58-D948-8246-B671-7B41A1911B4E}"/>
    <hyperlink ref="C142" r:id="rId7" tooltip="DOI URL" xr:uid="{B8A5D1AC-C48E-9A49-A710-96C20D858EBF}"/>
    <hyperlink ref="C143" r:id="rId8" tooltip="DOI URL" xr:uid="{E557274A-B207-8E4A-A6DF-ECB333D4DFE7}"/>
    <hyperlink ref="C146" r:id="rId9" tooltip="DOI URL" xr:uid="{531DE602-D26E-0245-A8BF-C6135FC4BE82}"/>
    <hyperlink ref="C147" r:id="rId10" tooltip="DOI URL" xr:uid="{147EACEC-C778-CD47-A072-5A32A50E885B}"/>
    <hyperlink ref="C148" r:id="rId11" tooltip="DOI URL" xr:uid="{938AD664-1343-F941-8F0A-DEEB60BFE817}"/>
    <hyperlink ref="C149" r:id="rId12" tooltip="DOI URL" xr:uid="{93886EAC-6600-9B4E-ABF9-10778C30437B}"/>
    <hyperlink ref="C151" r:id="rId13" tooltip="DOI URL" xr:uid="{38BBE156-C3C9-B54D-8362-D6C81DBBAD7D}"/>
    <hyperlink ref="C145" r:id="rId14" tooltip="DOI URL" xr:uid="{A5C8DB29-89DB-B24E-8011-2A89431D432F}"/>
    <hyperlink ref="C165" r:id="rId15" tooltip="DOI URL" xr:uid="{1AAAB5C7-BD1A-F942-9A16-F25FECBAB8F1}"/>
    <hyperlink ref="C166" r:id="rId16" tooltip="DOI URL" xr:uid="{20243E6D-8FD6-AC44-84C5-FEDE475CF957}"/>
    <hyperlink ref="C167" r:id="rId17" tooltip="DOI URL" xr:uid="{7D81C6CF-E4B4-0049-9CB4-19C9C26607F6}"/>
    <hyperlink ref="C168" r:id="rId18" tooltip="DOI URL" xr:uid="{A77FFFDF-CF95-5D4E-B3F7-FF63C70B7133}"/>
    <hyperlink ref="C152" r:id="rId19" tooltip="DOI URL" xr:uid="{FDE1FFAF-8F14-D144-98D0-0DBB0D72E208}"/>
    <hyperlink ref="C153" r:id="rId20" tooltip="DOI URL" xr:uid="{CD4912D9-998C-9B4C-A53F-3CE3F33B0CA8}"/>
    <hyperlink ref="C154" r:id="rId21" tooltip="DOI URL" xr:uid="{D01912A7-A10E-D940-B9E8-911CF6BC1F62}"/>
    <hyperlink ref="C155" r:id="rId22" tooltip="DOI URL" xr:uid="{14E2EC0F-DDF1-D844-BC3C-0F74C0BE1790}"/>
    <hyperlink ref="C156" r:id="rId23" tooltip="DOI URL" xr:uid="{627AADFA-EE11-E34F-8612-08366BDCD411}"/>
    <hyperlink ref="C157" r:id="rId24" tooltip="DOI URL" xr:uid="{AD2B5D78-2363-CF49-B694-C7ABD2491F09}"/>
    <hyperlink ref="C158" r:id="rId25" tooltip="DOI URL" xr:uid="{924F1FAD-4E1C-054A-A701-8E21A1A0F169}"/>
    <hyperlink ref="C159" r:id="rId26" tooltip="DOI URL" xr:uid="{2A24443C-B852-BF4B-8A2A-709346319A10}"/>
    <hyperlink ref="C160" r:id="rId27" tooltip="DOI URL" xr:uid="{F75441D5-7CDE-3546-861A-79D03986C60E}"/>
    <hyperlink ref="C161" r:id="rId28" tooltip="DOI URL" xr:uid="{B1339301-4999-E142-9328-D1F8D3C67AD9}"/>
    <hyperlink ref="C162" r:id="rId29" tooltip="DOI URL" xr:uid="{AB768BFD-DC84-5941-A5DE-1573E27A3028}"/>
    <hyperlink ref="C172" r:id="rId30" tooltip="DOI URL" xr:uid="{8E50E8E5-3797-F746-B16C-7EE20DF0477C}"/>
    <hyperlink ref="C150" r:id="rId31" tooltip="DOI URL" xr:uid="{50B5F3FE-9C33-2E40-856D-78F94F166EBB}"/>
    <hyperlink ref="C176" r:id="rId32" tooltip="DOI URL" xr:uid="{1DF59D6E-3959-A24B-9D9C-B0CD826E8790}"/>
    <hyperlink ref="C169" r:id="rId33" tooltip="DOI URL" xr:uid="{8D44AAA4-8D3F-4847-9D1A-836D118E7F51}"/>
    <hyperlink ref="C170" r:id="rId34" tooltip="DOI URL" xr:uid="{293199E9-995E-EC46-B53C-6326C1EE2306}"/>
    <hyperlink ref="C171" r:id="rId35" tooltip="DOI URL" xr:uid="{815ABDE3-3EF5-AD43-9214-6AA5EF979154}"/>
    <hyperlink ref="C163" r:id="rId36" tooltip="DOI URL" xr:uid="{E3D7484C-B121-1149-BDAE-AB068F0F74C7}"/>
    <hyperlink ref="C164" r:id="rId37" tooltip="DOI URL" xr:uid="{EB74B050-A99F-6E4A-920A-845802BBDD4E}"/>
    <hyperlink ref="C177" r:id="rId38" tooltip="DOI URL" xr:uid="{21B4CDA5-FBF7-0943-B687-8D9742682D44}"/>
    <hyperlink ref="C174" r:id="rId39" tooltip="DOI URL" xr:uid="{53E4F2A8-3F9C-E84A-BE9D-EF3598F2850D}"/>
    <hyperlink ref="C175" r:id="rId40" tooltip="DOI URL" xr:uid="{9C1B1CFD-E715-644C-9BE5-46632A981895}"/>
    <hyperlink ref="C173" r:id="rId41" tooltip="DOI URL" xr:uid="{B5B70BB2-58EB-0448-BC6F-E784BE949A32}"/>
    <hyperlink ref="C184" r:id="rId42" tooltip="DOI URL" xr:uid="{0B85F482-06A0-8648-81CC-B014744BFA55}"/>
    <hyperlink ref="C179" r:id="rId43" tooltip="DOI URL" xr:uid="{CA7F5657-09F2-644D-B8A3-DD2C72F606C2}"/>
    <hyperlink ref="C181" r:id="rId44" tooltip="DOI URL" xr:uid="{5DE8D296-435C-DB4B-93C3-A3D42F46F2C5}"/>
    <hyperlink ref="C180" r:id="rId45" tooltip="DOI URL" xr:uid="{1D57E3D3-18B3-D948-A2AA-5DC77760607F}"/>
    <hyperlink ref="C182" r:id="rId46" tooltip="DOI URL" xr:uid="{A1674F96-974D-D348-9493-0B309FCBABDF}"/>
    <hyperlink ref="C178" r:id="rId47" tooltip="DOI URL" xr:uid="{02BEA293-C8B2-6345-87A7-8FDA7BF70A15}"/>
    <hyperlink ref="C185" r:id="rId48" tooltip="DOI URL" xr:uid="{246C1BA0-01A1-B140-B52E-62AD2367B2E5}"/>
    <hyperlink ref="C186" r:id="rId49" tooltip="DOI URL" xr:uid="{B532ADFA-CB76-5348-A1A5-9948FA0BD286}"/>
    <hyperlink ref="C188" r:id="rId50" tooltip="DOI URL" xr:uid="{CE67A8D1-EBD0-BD47-915B-18555D7722BF}"/>
    <hyperlink ref="C187" r:id="rId51" tooltip="DOI URL" xr:uid="{1D27C9FF-3F79-C244-80E4-32CD512B6F97}"/>
    <hyperlink ref="C189" r:id="rId52" tooltip="DOI URL" xr:uid="{141ECFD9-3B75-A843-B894-7C88F6F61507}"/>
    <hyperlink ref="C190" r:id="rId53" tooltip="DOI URL" xr:uid="{A02A4EE1-0193-AC40-AC4D-08C601E6E9AB}"/>
    <hyperlink ref="C191" r:id="rId54" tooltip="DOI URL" xr:uid="{3727CF7F-B7E3-894F-979F-8BCBA54D46F4}"/>
    <hyperlink ref="C192" r:id="rId55" tooltip="DOI URL" xr:uid="{F60AA58C-F437-6343-9E45-EF4701900A73}"/>
    <hyperlink ref="C197" r:id="rId56" tooltip="DOI URL" xr:uid="{E6DD6071-9F0B-C041-B878-5B43D59338C8}"/>
    <hyperlink ref="C195" r:id="rId57" tooltip="DOI URL" xr:uid="{1B2E991F-8461-EA4A-AFD2-31C7BDCF1F93}"/>
    <hyperlink ref="C193" r:id="rId58" tooltip="DOI URL" xr:uid="{E81B9922-036D-8544-BF64-A89B6BCA034A}"/>
    <hyperlink ref="C194" r:id="rId59" tooltip="DOI URL" xr:uid="{F290269A-3738-A742-BEC1-7CD3D372B841}"/>
    <hyperlink ref="C196" r:id="rId60" tooltip="DOI URL" xr:uid="{2B9504A7-6649-C744-8119-6409BC4D1117}"/>
    <hyperlink ref="C198" r:id="rId61" tooltip="DOI URL" xr:uid="{EAE96A32-AFB9-CC46-92A3-6307EF18E5C2}"/>
    <hyperlink ref="C199" r:id="rId62" tooltip="DOI URL" xr:uid="{F0B40F70-C2C4-594D-911D-85C9C07388A0}"/>
    <hyperlink ref="C200" r:id="rId63" tooltip="DOI URL" xr:uid="{64EB7B70-3B4E-0B47-9AE0-0BCF1DB4815F}"/>
    <hyperlink ref="C201" r:id="rId64" tooltip="DOI URL" xr:uid="{EAF0CA94-DFFA-1C49-8A7C-1F2742658AB0}"/>
    <hyperlink ref="C202" r:id="rId65" tooltip="DOI URL" xr:uid="{AB743C50-7D75-0242-8D7A-042759689748}"/>
    <hyperlink ref="C227" r:id="rId66" tooltip="DOI URL" xr:uid="{224AE5D0-45EF-A245-B709-BCEAA8DF07A3}"/>
    <hyperlink ref="C228" r:id="rId67" tooltip="DOI URL" xr:uid="{BB92C464-433F-354E-A714-E70B3C05C16D}"/>
    <hyperlink ref="C203" r:id="rId68" tooltip="DOI URL" xr:uid="{9C1321F9-EE6D-3C4C-9072-655732B9DA23}"/>
    <hyperlink ref="C204" r:id="rId69" tooltip="DOI URL" xr:uid="{599D3A96-C5A8-184E-8D25-A66DEC85BEE1}"/>
    <hyperlink ref="C205" r:id="rId70" tooltip="DOI URL" xr:uid="{49706FB4-2E00-A347-A35A-1297E81EA98A}"/>
    <hyperlink ref="C206" r:id="rId71" tooltip="DOI URL" xr:uid="{487ABB04-B5E9-9D4F-A850-83F1345D2362}"/>
    <hyperlink ref="C208" r:id="rId72" tooltip="DOI URL" xr:uid="{9FFDFD43-A7A6-5E4D-B230-9C7E7989B319}"/>
    <hyperlink ref="C210" r:id="rId73" tooltip="DOI URL" xr:uid="{41E27CAA-C1D9-1F46-AA85-8A5AB31AAA74}"/>
    <hyperlink ref="C212" r:id="rId74" tooltip="DOI URL" xr:uid="{02124BE9-10B1-B842-9306-BBF83F5F02F5}"/>
    <hyperlink ref="C214" r:id="rId75" tooltip="DOI URL" xr:uid="{6976824C-57E8-9840-877C-DE25C9BB7B62}"/>
    <hyperlink ref="C207" r:id="rId76" tooltip="DOI URL" xr:uid="{4E1D1941-32DB-524C-A21A-4E5429EA3E18}"/>
    <hyperlink ref="C209" r:id="rId77" tooltip="DOI URL" xr:uid="{9F578E3F-5214-EE46-AD2C-5C7F97D3E223}"/>
    <hyperlink ref="C211" r:id="rId78" tooltip="DOI URL" xr:uid="{2317D1A9-6B38-F744-A6CB-9FC09DF223BA}"/>
    <hyperlink ref="C213" r:id="rId79" tooltip="DOI URL" xr:uid="{E5FFEE42-D5B6-8148-BD09-0BD4FE9B5666}"/>
    <hyperlink ref="C215" r:id="rId80" tooltip="DOI URL" xr:uid="{68E5DD87-F092-E344-ACB8-0394FB266EE5}"/>
    <hyperlink ref="C216" r:id="rId81" tooltip="DOI URL" xr:uid="{8896B334-D88C-AB42-8F0D-40EC3E6AD85F}"/>
    <hyperlink ref="C225" r:id="rId82" tooltip="DOI URL" xr:uid="{7EB8DA7D-46DA-3147-8704-04ECD80F172B}"/>
    <hyperlink ref="C224" r:id="rId83" tooltip="DOI URL" xr:uid="{6B319124-ECE5-B04D-B6E7-6DB329E06107}"/>
    <hyperlink ref="C217" r:id="rId84" tooltip="DOI URL" xr:uid="{DA72036E-2119-BB48-880F-0E6491150336}"/>
    <hyperlink ref="C218" r:id="rId85" tooltip="DOI URL" xr:uid="{346A44ED-8C8F-684A-AA59-FFF744AADAD3}"/>
    <hyperlink ref="C219" r:id="rId86" tooltip="DOI URL" xr:uid="{0AD2B0C4-862C-3F49-8A8F-6CA0FAE62491}"/>
    <hyperlink ref="C222" r:id="rId87" tooltip="DOI URL" xr:uid="{7DE5E065-B187-7043-A290-7CA6E618687F}"/>
    <hyperlink ref="C223" r:id="rId88" tooltip="DOI URL" xr:uid="{6030C344-A154-C347-BB1B-D5714B2FFEAE}"/>
    <hyperlink ref="C221" r:id="rId89" tooltip="DOI URL" xr:uid="{5B317E8D-4886-214D-AB1D-272E4566B575}"/>
    <hyperlink ref="C220" r:id="rId90" tooltip="DOI URL" xr:uid="{D70ADCC6-BCD2-F348-BD0A-F3D828762989}"/>
    <hyperlink ref="C226" r:id="rId91" tooltip="DOI URL" xr:uid="{2137CA3A-C931-354F-926F-099C83956C83}"/>
    <hyperlink ref="C246" r:id="rId92" tooltip="DOI URL" xr:uid="{E9E86B96-CF81-504B-89E4-25BCE0C6C552}"/>
    <hyperlink ref="C247" r:id="rId93" tooltip="DOI URL" xr:uid="{D4A6270B-0BD8-3C48-AB5D-23FE2FE0B3D0}"/>
    <hyperlink ref="C248" r:id="rId94" tooltip="DOI URL" xr:uid="{A1CA0A93-FDAB-574C-977C-2FE607CD1534}"/>
    <hyperlink ref="C230" r:id="rId95" tooltip="DOI URL" xr:uid="{DC153A9E-4444-B748-AEEF-BC5E7B909486}"/>
    <hyperlink ref="C231" r:id="rId96" tooltip="DOI URL" xr:uid="{B733812D-0428-6649-87EE-EA83EDBD514A}"/>
    <hyperlink ref="C232" r:id="rId97" tooltip="DOI URL" xr:uid="{D0513120-9A7A-324E-9002-6B68D210AD37}"/>
    <hyperlink ref="C233" r:id="rId98" tooltip="DOI URL" xr:uid="{164DC82F-FB86-7C42-971C-7BC7239D411D}"/>
    <hyperlink ref="C234" r:id="rId99" tooltip="DOI URL" xr:uid="{A57EB59E-15D9-7841-8D3F-F81F196C8F59}"/>
    <hyperlink ref="C235" r:id="rId100" tooltip="DOI URL" xr:uid="{968AE116-F9DF-0443-A1E2-748FC7F93D7D}"/>
    <hyperlink ref="C237" r:id="rId101" tooltip="DOI URL" xr:uid="{53F4E4CB-3C1A-6746-B99E-7929B7990B6E}"/>
    <hyperlink ref="C236" r:id="rId102" tooltip="DOI URL" xr:uid="{DF40163B-47E9-AB42-9E9D-2B0E4257EF85}"/>
    <hyperlink ref="C238" r:id="rId103" tooltip="DOI URL" xr:uid="{4712CD81-9166-A44E-AC4A-C92990C3AA3B}"/>
    <hyperlink ref="C229" r:id="rId104" tooltip="DOI URL" xr:uid="{DEFBD5A3-9697-8D48-952E-645DB43770C1}"/>
    <hyperlink ref="C244" r:id="rId105" tooltip="DOI URL" xr:uid="{E37353E3-2DE7-DE42-AE0F-CA377084C0CC}"/>
    <hyperlink ref="C252" r:id="rId106" tooltip="DOI URL" xr:uid="{64D1A733-F164-1E4D-B6D0-0DF0375B0C61}"/>
    <hyperlink ref="C254" r:id="rId107" tooltip="DOI URL" xr:uid="{C6BF3C5C-0FE2-8B46-A17B-AD51EE924C31}"/>
    <hyperlink ref="C253" r:id="rId108" tooltip="DOI URL" xr:uid="{347EF09C-FFEC-E748-96BE-29AD028C3930}"/>
    <hyperlink ref="C255" r:id="rId109" tooltip="DOI URL" xr:uid="{AE851277-E4C5-F748-A5E0-673FE7816335}"/>
    <hyperlink ref="C256" r:id="rId110" tooltip="DOI URL" xr:uid="{F09842E6-934F-DB46-815A-FDA0487ED7E8}"/>
    <hyperlink ref="C245" r:id="rId111" tooltip="DOI URL" xr:uid="{30DA5C44-EDF3-204B-8522-0D176CD254E4}"/>
    <hyperlink ref="C249" r:id="rId112" tooltip="DOI URL" xr:uid="{2387BD6A-E210-B441-BF2F-94289CC4212F}"/>
    <hyperlink ref="C250" r:id="rId113" tooltip="DOI URL" xr:uid="{22CB3BEF-60C8-D148-B59E-8DBCA6160C77}"/>
    <hyperlink ref="C251" r:id="rId114" tooltip="DOI URL" xr:uid="{01CF3DB9-DCD9-1545-B6C8-D6C050DD8282}"/>
    <hyperlink ref="C258" r:id="rId115" tooltip="DOI URL" xr:uid="{78B3679F-BCEA-1C41-B089-009493423825}"/>
    <hyperlink ref="C257" r:id="rId116" tooltip="DOI URL" xr:uid="{3F047ABA-0D3C-4143-8881-27C8C5C6318B}"/>
    <hyperlink ref="C259" r:id="rId117" tooltip="DOI URL" xr:uid="{3B672514-E22E-AA47-AA00-B25686D48612}"/>
    <hyperlink ref="C260" r:id="rId118" tooltip="DOI URL" xr:uid="{0D6A83B0-6197-3B46-B103-6EA8D17A16CA}"/>
    <hyperlink ref="C261" r:id="rId119" tooltip="DOI URL" xr:uid="{F74737C1-E9BE-1B4B-83AD-BC45E6B95D79}"/>
    <hyperlink ref="C262" r:id="rId120" tooltip="DOI URL" xr:uid="{3E9749ED-6AAE-3F4C-B02E-F9B45AA0461F}"/>
    <hyperlink ref="C263" r:id="rId121" tooltip="DOI URL" xr:uid="{21049588-49C6-A146-A3EC-03E8187E00E6}"/>
    <hyperlink ref="C264" r:id="rId122" tooltip="DOI URL" xr:uid="{63127F1C-5A1A-854E-8057-BE61FF539068}"/>
    <hyperlink ref="C265" r:id="rId123" tooltip="DOI URL" xr:uid="{F083C2E7-DCEC-FC40-B8DD-A19764CE764F}"/>
    <hyperlink ref="C269" r:id="rId124" tooltip="DOI URL" xr:uid="{895EE49D-C023-5B41-BCC7-7DAFB0A2E08F}"/>
    <hyperlink ref="C270" r:id="rId125" tooltip="DOI URL" xr:uid="{4B7A196A-C13D-364A-AD0B-D95A1A0F8122}"/>
    <hyperlink ref="C271" r:id="rId126" tooltip="DOI URL" xr:uid="{2FCA4F2D-7C00-3649-804B-33CBC146C894}"/>
    <hyperlink ref="C272" r:id="rId127" tooltip="DOI URL" xr:uid="{511583DF-588D-BA4A-A857-AA5083BAB3B7}"/>
    <hyperlink ref="C273" r:id="rId128" tooltip="DOI URL" xr:uid="{94FA8668-10F3-0742-9EA3-924CF8B59715}"/>
    <hyperlink ref="C266" r:id="rId129" tooltip="DOI URL" xr:uid="{5654CB6C-D9CE-B64E-AB9C-BEBEDB79CBF4}"/>
    <hyperlink ref="C267" r:id="rId130" tooltip="DOI URL" xr:uid="{A7B87976-D117-8F4D-ABF5-CED62A5EC207}"/>
    <hyperlink ref="C268" r:id="rId131" tooltip="DOI URL" xr:uid="{356FF4D0-67D4-5D4F-99BA-360C71EBF532}"/>
    <hyperlink ref="C278" r:id="rId132" tooltip="DOI URL" xr:uid="{33EC2CF5-0FE2-B541-8FE0-892FD2665870}"/>
    <hyperlink ref="C274" r:id="rId133" tooltip="DOI URL" xr:uid="{E23DC9C5-AFAF-084D-AC83-9B34D2FA19AE}"/>
    <hyperlink ref="C275" r:id="rId134" tooltip="DOI URL" xr:uid="{3FD63EE0-45F4-D546-8A29-47405E9F20FF}"/>
    <hyperlink ref="C277" r:id="rId135" tooltip="DOI URL" xr:uid="{F89C94C1-1FD4-774C-9200-F33573EE61CE}"/>
    <hyperlink ref="C276" r:id="rId136" tooltip="DOI URL" xr:uid="{F717FE9D-4344-014F-9DFE-FE89780F07C8}"/>
    <hyperlink ref="C286" r:id="rId137" tooltip="DOI URL" xr:uid="{B6F3EE92-0600-3D4E-B6A7-CB96FBA5E6FC}"/>
    <hyperlink ref="C287" r:id="rId138" tooltip="DOI URL" xr:uid="{F335B3D2-D4D9-364E-9752-58588FFBBCD7}"/>
    <hyperlink ref="C290" r:id="rId139" tooltip="DOI URL" xr:uid="{75B1E9AC-DC6E-1A44-81BB-0239439B755C}"/>
    <hyperlink ref="C288" r:id="rId140" tooltip="DOI URL" xr:uid="{65C98E51-2B41-314C-8633-BC53AF83D5CF}"/>
    <hyperlink ref="C289" r:id="rId141" tooltip="DOI URL" xr:uid="{692D3E27-0638-314A-A953-AD3B41275813}"/>
    <hyperlink ref="C282" r:id="rId142" tooltip="DOI URL" xr:uid="{547CD070-12DF-E747-815D-2422409A70DD}"/>
    <hyperlink ref="C281" r:id="rId143" tooltip="DOI URL" xr:uid="{AE7004D4-3192-5142-99AF-E7927091901F}"/>
    <hyperlink ref="C283" r:id="rId144" tooltip="DOI URL" xr:uid="{562E37F6-0D28-FB41-950C-D98F52C59B16}"/>
    <hyperlink ref="C284" r:id="rId145" tooltip="DOI URL" xr:uid="{F65D7919-A4E8-F544-8444-35A1B67D7A9A}"/>
    <hyperlink ref="C285" r:id="rId146" tooltip="DOI URL" xr:uid="{9C3A575E-F4E4-094D-9477-A78A4576EAE4}"/>
    <hyperlink ref="C279" r:id="rId147" tooltip="DOI URL" xr:uid="{78ABF4AA-D335-3C42-806E-D3A0E617AF4E}"/>
    <hyperlink ref="C280" r:id="rId148" tooltip="DOI URL" xr:uid="{12EDE0AD-FA4C-5944-B3CA-C4DFA20745D3}"/>
    <hyperlink ref="C304" r:id="rId149" tooltip="DOI URL" xr:uid="{A8F4B25C-DD02-7F4D-B2B1-CF864021035A}"/>
    <hyperlink ref="C305" r:id="rId150" tooltip="DOI URL" xr:uid="{0E9021E8-BFF5-A241-B7C6-C63F4B95D864}"/>
    <hyperlink ref="C291" r:id="rId151" tooltip="DOI URL" xr:uid="{0D9B6E42-C326-D142-95FA-F1BF087B072E}"/>
    <hyperlink ref="C292" r:id="rId152" tooltip="DOI URL" xr:uid="{F29085E4-7A75-0240-961A-65836354962F}"/>
    <hyperlink ref="C293" r:id="rId153" tooltip="DOI URL" xr:uid="{7D7E04C2-C9F2-3D4A-A1D2-E529DEC56FA0}"/>
    <hyperlink ref="C294" r:id="rId154" tooltip="DOI URL" xr:uid="{93C0A2B4-66B5-2E4C-B1C3-5F576DF597E6}"/>
    <hyperlink ref="C296" r:id="rId155" tooltip="DOI URL" xr:uid="{0F8D6715-D7E6-F949-9725-8E4705944D84}"/>
    <hyperlink ref="C298" r:id="rId156" tooltip="DOI URL" xr:uid="{7F2FDA04-4D01-6740-8C61-2110A34D2025}"/>
    <hyperlink ref="C295" r:id="rId157" tooltip="DOI URL" xr:uid="{072D53A7-5C47-0944-947B-42B4964F873D}"/>
    <hyperlink ref="C297" r:id="rId158" tooltip="DOI URL" xr:uid="{A68DDE90-51F1-1242-A746-021BF792EF18}"/>
    <hyperlink ref="C299" r:id="rId159" tooltip="DOI URL" xr:uid="{FF6FC6E1-7890-B84D-A7E6-D6C0A0C95046}"/>
    <hyperlink ref="C302" r:id="rId160" tooltip="DOI URL" xr:uid="{9D0F31E0-B04B-224C-AEBF-2FA99435882D}"/>
    <hyperlink ref="C307" r:id="rId161" tooltip="DOI URL" xr:uid="{E4906181-E63C-444E-9D26-5A9274048AEB}"/>
    <hyperlink ref="C308" r:id="rId162" tooltip="DOI URL" xr:uid="{56D0D763-0C5D-5D44-A57F-2FF913F0F06E}"/>
    <hyperlink ref="C303" r:id="rId163" tooltip="DOI URL" xr:uid="{9AA3AAAF-17DF-2844-8EA3-21E55ED90A82}"/>
    <hyperlink ref="C314" r:id="rId164" tooltip="DOI URL" xr:uid="{53A0C582-0353-2B4E-B21C-4111387DF294}"/>
    <hyperlink ref="C312" r:id="rId165" tooltip="DOI URL" xr:uid="{E91EFBB1-6E1C-EB48-B6FC-B6A33CB1E0B9}"/>
    <hyperlink ref="C313" r:id="rId166" tooltip="DOI URL" xr:uid="{9D946D59-876A-A34A-A337-DF95C51C4F01}"/>
    <hyperlink ref="C315" r:id="rId167" tooltip="DOI URL" xr:uid="{65828138-135C-9C47-8B68-A3CE882FF58A}"/>
    <hyperlink ref="C306" r:id="rId168" tooltip="DOI URL" xr:uid="{C355B286-A6F2-6544-858A-1537B31BD641}"/>
    <hyperlink ref="C310" r:id="rId169" tooltip="DOI URL" xr:uid="{B4C5D27C-4BD1-7441-AEA1-D21CDF466A1F}"/>
    <hyperlink ref="C311" r:id="rId170" tooltip="DOI URL" xr:uid="{04337528-4361-FA43-B87B-246F1D2EF186}"/>
    <hyperlink ref="C300" r:id="rId171" tooltip="DOI URL" xr:uid="{5E277E9B-1C01-2C43-BB49-9EB1CE6DBDC5}"/>
    <hyperlink ref="C301" r:id="rId172" tooltip="DOI URL" xr:uid="{300A975B-4A99-2C4C-A29E-0D14D174DE16}"/>
    <hyperlink ref="C309" r:id="rId173" tooltip="DOI URL" xr:uid="{A8740835-A8AD-2948-9342-A59B3CFC72DE}"/>
    <hyperlink ref="C316" r:id="rId174" tooltip="DOI URL" xr:uid="{116B893F-50FD-B643-9A0C-DC358B1B0CF7}"/>
    <hyperlink ref="C323" r:id="rId175" tooltip="DOI URL" xr:uid="{B6B080AA-CDB0-8E45-8E75-EDF37434AD45}"/>
    <hyperlink ref="C317" r:id="rId176" tooltip="DOI URL" xr:uid="{65C12E8D-44B8-4D4E-A55B-4545D9A08686}"/>
    <hyperlink ref="C318" r:id="rId177" tooltip="DOI URL" xr:uid="{0BE3E70C-6AEE-8246-B939-41A1ADA4C1A3}"/>
    <hyperlink ref="C319" r:id="rId178" tooltip="DOI URL" xr:uid="{FC41ED1B-22ED-F145-B636-A89AAB96BE81}"/>
    <hyperlink ref="C320" r:id="rId179" tooltip="DOI URL" xr:uid="{1A99AE1F-2CD6-7E4F-8C83-A8877C0244B6}"/>
    <hyperlink ref="C321" r:id="rId180" tooltip="DOI URL" xr:uid="{DEC40532-A875-A942-BA78-28B6941C3E08}"/>
    <hyperlink ref="C322" r:id="rId181" tooltip="DOI URL" xr:uid="{7C12986A-EEA5-9946-9670-AC37BFF8F8A2}"/>
    <hyperlink ref="C324" r:id="rId182" tooltip="DOI URL" xr:uid="{43781E5E-35AA-C242-B0E7-E53DAF5337BF}"/>
    <hyperlink ref="C327" r:id="rId183" tooltip="DOI URL" xr:uid="{EF7A338A-D71D-C045-86DB-686F86F63FD1}"/>
    <hyperlink ref="C328" r:id="rId184" tooltip="DOI URL" xr:uid="{944C6774-F8E8-114C-8509-42137F830DDD}"/>
    <hyperlink ref="C329" r:id="rId185" tooltip="DOI URL" xr:uid="{2957D307-EBAA-F846-8426-5E100624432B}"/>
    <hyperlink ref="C330" r:id="rId186" tooltip="DOI URL" xr:uid="{313AE2D2-1756-5245-A2EE-6D29F0D16551}"/>
    <hyperlink ref="C325" r:id="rId187" tooltip="DOI URL" xr:uid="{3ECC6B3E-1741-5E4B-BEE9-8B0B91306FEF}"/>
    <hyperlink ref="C326" r:id="rId188" tooltip="DOI URL" xr:uid="{A1CC9E6E-B782-854B-A6B8-74ACB53370FC}"/>
    <hyperlink ref="C331" r:id="rId189" tooltip="DOI URL" xr:uid="{2F597403-9E8F-AB4D-8918-A5F549978B41}"/>
    <hyperlink ref="C332" r:id="rId190" tooltip="DOI URL" xr:uid="{E2CCD1B0-36B2-DD40-9233-08CEED2DC1C0}"/>
    <hyperlink ref="C333" r:id="rId191" tooltip="DOI URL" xr:uid="{20924F15-9074-E741-B161-45FA60D5E288}"/>
    <hyperlink ref="C335" r:id="rId192" tooltip="DOI URL" xr:uid="{FCFDB7C1-F211-BE42-8CF6-42496F809AF4}"/>
    <hyperlink ref="C334" r:id="rId193" tooltip="DOI URL" xr:uid="{82882FD7-5846-ED40-B46A-D9331551B6E6}"/>
    <hyperlink ref="C338" r:id="rId194" tooltip="DOI URL" xr:uid="{58E047F4-30D8-A44B-BF6F-32ADA645D340}"/>
    <hyperlink ref="C337" r:id="rId195" tooltip="DOI URL" xr:uid="{EAD7CD8F-6A1E-CB4A-8FB3-3E34ED80DB6D}"/>
    <hyperlink ref="C340" r:id="rId196" tooltip="DOI URL" xr:uid="{7993B048-3642-0849-8B03-54CA9FB448A5}"/>
    <hyperlink ref="C336" r:id="rId197" tooltip="DOI URL" xr:uid="{D2EF8C4C-CA54-EB41-BAC8-1138FA20E133}"/>
    <hyperlink ref="C339" r:id="rId198" tooltip="DOI URL" xr:uid="{38482391-7BD6-3E4A-B3F5-9A48984C7E13}"/>
    <hyperlink ref="C341" r:id="rId199" tooltip="DOI URL" xr:uid="{364A8B14-AF9B-D242-9773-0B484C485896}"/>
    <hyperlink ref="C344" r:id="rId200" tooltip="DOI URL" xr:uid="{140186AD-768D-1F49-978E-0D1D0CA32CC6}"/>
    <hyperlink ref="C343" r:id="rId201" tooltip="DOI URL" xr:uid="{1953E78D-C388-9D4A-9941-CDA13530CADA}"/>
    <hyperlink ref="C347" r:id="rId202" tooltip="DOI URL" xr:uid="{6C4031E8-4BD8-634B-B35F-5032297C9526}"/>
    <hyperlink ref="C348" r:id="rId203" tooltip="DOI URL" xr:uid="{1AF49F5B-6B57-0049-A756-BB8521D19ABE}"/>
    <hyperlink ref="C342" r:id="rId204" tooltip="DOI URL" xr:uid="{8EED0D56-9DE3-7E42-A3DF-5DED5F9AE002}"/>
    <hyperlink ref="C345" r:id="rId205" tooltip="DOI URL" xr:uid="{033DB543-5278-8C4F-85DC-FCA56CA7E3DD}"/>
    <hyperlink ref="C349" r:id="rId206" tooltip="DOI URL" xr:uid="{D4D611C7-5034-7C42-8ED8-AC0515E501E0}"/>
    <hyperlink ref="C346" r:id="rId207" tooltip="DOI URL" xr:uid="{B5399846-D66A-C447-832F-AEC7E5598C66}"/>
    <hyperlink ref="C183" r:id="rId208" tooltip="DOI URL" xr:uid="{C2C2E8FA-23AF-2444-A617-B2DF7949D3E2}"/>
    <hyperlink ref="C121" r:id="rId209" tooltip="DOI URL" xr:uid="{E3C1F026-1CAC-FA47-A013-8B6B688FC302}"/>
    <hyperlink ref="C129" r:id="rId210" tooltip="DOI URL" xr:uid="{28720802-6256-DF45-A545-DEE2001F70FF}"/>
    <hyperlink ref="C128" r:id="rId211" tooltip="DOI URL" xr:uid="{CA7B29B5-FDA0-6546-B719-DB4A0AC3ADAA}"/>
    <hyperlink ref="C127" r:id="rId212" tooltip="DOI URL" xr:uid="{EC053894-808A-8542-818C-617BAF592472}"/>
    <hyperlink ref="C125" r:id="rId213" tooltip="DOI URL" xr:uid="{3952095B-AE7A-B648-B28F-1F91404A0295}"/>
    <hyperlink ref="C122" r:id="rId214" tooltip="DOI URL" xr:uid="{14143621-1B48-D448-8148-98046308BFCC}"/>
    <hyperlink ref="C126" r:id="rId215" tooltip="DOI URL" xr:uid="{E2CAEC52-25FD-3A41-A177-EC46E410EFD8}"/>
    <hyperlink ref="C124" r:id="rId216" tooltip="DOI URL" xr:uid="{D4044E21-4CF2-3D44-AF42-A554A2A8EE4C}"/>
    <hyperlink ref="C123" r:id="rId217" tooltip="DOI URL" xr:uid="{11BDB78D-1483-3641-95A9-7F6E801AC289}"/>
    <hyperlink ref="C3" r:id="rId218" tooltip="DOI URL" xr:uid="{82069F32-3E85-2046-84F1-49B9FBDCC0D1}"/>
    <hyperlink ref="C4" r:id="rId219" tooltip="DOI URL" xr:uid="{B47A9AC9-E564-8541-AC9B-B03205B48B69}"/>
    <hyperlink ref="C2" r:id="rId220" tooltip="DOI URL" xr:uid="{4B14E74B-23B7-F24F-930C-6FDE3985654A}"/>
    <hyperlink ref="C136" r:id="rId221" tooltip="DOI URL" xr:uid="{C66A5343-98AF-404D-BAC5-5AC952237DE5}"/>
    <hyperlink ref="C135" r:id="rId222" tooltip="DOI URL" xr:uid="{D9F1F668-89AC-6445-A4FC-011264A3A8B8}"/>
    <hyperlink ref="C133" r:id="rId223" tooltip="DOI URL" xr:uid="{8E13BFEF-A2F8-514D-8623-14860703BCBD}"/>
    <hyperlink ref="C134" r:id="rId224" tooltip="DOI URL" xr:uid="{2664C87E-8066-1942-9217-203E31DDB8F3}"/>
    <hyperlink ref="C131" r:id="rId225" tooltip="DOI URL" xr:uid="{0A27A1A9-0323-0643-8256-60862A72675F}"/>
    <hyperlink ref="C132" r:id="rId226" tooltip="DOI URL" xr:uid="{278C8560-8715-2C41-B0F8-B97F1271C20C}"/>
    <hyperlink ref="C130" r:id="rId227" tooltip="DOI URL" xr:uid="{1B859468-DA03-0B40-915F-05D6B2419991}"/>
    <hyperlink ref="C18" r:id="rId228" tooltip="DOI URL" xr:uid="{D33B5D45-8793-3F4C-B42C-74688CD562F5}"/>
    <hyperlink ref="C15" r:id="rId229" tooltip="DOI URL" xr:uid="{896E0FC9-E3D1-254B-ADA5-D74482F7FE3B}"/>
    <hyperlink ref="C16" r:id="rId230" tooltip="DOI URL" xr:uid="{20222147-A2F3-2E49-920A-127252E9A2ED}"/>
    <hyperlink ref="C17" r:id="rId231" tooltip="DOI URL" xr:uid="{23467CB7-BC63-DD48-81DE-D13A9B57AB85}"/>
    <hyperlink ref="C13" r:id="rId232" tooltip="DOI URL" xr:uid="{97E38228-51DB-0749-861A-68C7A57167E9}"/>
    <hyperlink ref="C12" r:id="rId233" tooltip="DOI URL" xr:uid="{C5396178-64C3-3949-B2E0-3D9A7E5BDD37}"/>
    <hyperlink ref="C11" r:id="rId234" tooltip="DOI URL" xr:uid="{49A1EA54-2250-E946-868E-52CEBEA0A547}"/>
    <hyperlink ref="C10" r:id="rId235" tooltip="DOI URL" xr:uid="{E7CAEDD1-6A10-A346-9611-CCDBA37D1029}"/>
    <hyperlink ref="C9" r:id="rId236" tooltip="DOI URL" xr:uid="{E6A9ECC4-4B3E-0B4A-AB53-55F162EDB033}"/>
    <hyperlink ref="C7" r:id="rId237" tooltip="DOI URL" xr:uid="{6488C725-426D-2344-8471-10AD4F3C3C2F}"/>
    <hyperlink ref="C8" r:id="rId238" tooltip="DOI URL" xr:uid="{871DFAB6-B17E-C946-879F-DCF02CF7A543}"/>
    <hyperlink ref="C5" r:id="rId239" tooltip="DOI URL" xr:uid="{48D8D5BC-9F84-FF4B-AE29-1A3A6B7209C2}"/>
    <hyperlink ref="C6" r:id="rId240" tooltip="DOI URL" xr:uid="{C3A1B7EF-A79F-9047-A4D8-B0136562E6DC}"/>
    <hyperlink ref="C38" r:id="rId241" tooltip="DOI URL" xr:uid="{3C7E08F4-B576-4F45-A95C-66EB2D466409}"/>
    <hyperlink ref="C31" r:id="rId242" tooltip="DOI URL" xr:uid="{A9D32BC5-A816-F943-BE5D-DE06CE35B469}"/>
    <hyperlink ref="C32" r:id="rId243" tooltip="DOI URL" xr:uid="{94579F56-D501-4E42-BD80-F5168F9C8226}"/>
    <hyperlink ref="C33" r:id="rId244" tooltip="DOI URL" xr:uid="{8A320BD5-0620-384E-81B5-2B821F84159D}"/>
    <hyperlink ref="C34" r:id="rId245" tooltip="DOI URL" xr:uid="{56B3809A-18A6-FD43-8E01-D8D8DC6591B4}"/>
    <hyperlink ref="C36" r:id="rId246" tooltip="DOI URL" xr:uid="{EA333C97-9802-5C41-9DA7-D9232AB4212C}"/>
    <hyperlink ref="C29" r:id="rId247" tooltip="DOI URL" xr:uid="{1E98DEDB-072C-FD48-A7ED-6D7C4551EDDA}"/>
    <hyperlink ref="C37" r:id="rId248" tooltip="DOI URL" xr:uid="{9AFC2A91-643D-AF4C-BFF1-2CF555888BCD}"/>
    <hyperlink ref="C35" r:id="rId249" tooltip="DOI URL" xr:uid="{F35C64F0-3F3F-5444-8A26-01181BDC70EB}"/>
    <hyperlink ref="C30" r:id="rId250" tooltip="DOI URL" xr:uid="{ED5DB7BA-5072-594F-8EC9-CB0ED179B74B}"/>
    <hyperlink ref="C28" r:id="rId251" tooltip="DOI URL" xr:uid="{04334EE2-1687-BD47-96D4-636857DDC532}"/>
    <hyperlink ref="C22" r:id="rId252" tooltip="DOI URL" xr:uid="{696D9F7E-CE78-2C43-9D88-14F3CDFFF5DA}"/>
    <hyperlink ref="C21" r:id="rId253" tooltip="DOI URL" xr:uid="{E8DAF0FC-2CBB-E649-8BE9-E2C858DC8B08}"/>
    <hyperlink ref="C27" r:id="rId254" tooltip="DOI URL" xr:uid="{5605CF29-022E-4641-836E-83EF6D205DB1}"/>
    <hyperlink ref="C26" r:id="rId255" tooltip="DOI URL" xr:uid="{4EEB1B67-9AAB-0C48-8D4B-96E99FE5BB82}"/>
    <hyperlink ref="C23" r:id="rId256" tooltip="DOI URL" xr:uid="{A033087B-6A60-CE45-A6C3-0FA37F7B4BFF}"/>
    <hyperlink ref="C24" r:id="rId257" tooltip="DOI URL" xr:uid="{DEA1ACF9-7141-4F49-A212-BC0E19E89C2A}"/>
    <hyperlink ref="C25" r:id="rId258" tooltip="DOI URL" xr:uid="{3C346837-1B4F-EE49-AFA4-891EFBDDD670}"/>
    <hyperlink ref="C19" r:id="rId259" tooltip="DOI URL" xr:uid="{A1D653B9-3C83-4E49-9793-481802BDC099}"/>
    <hyperlink ref="C20" r:id="rId260" tooltip="DOI URL" xr:uid="{4C9ECBEE-9A74-4942-8D16-E9C4CFC757BD}"/>
    <hyperlink ref="C14" r:id="rId261" tooltip="DOI URL" xr:uid="{81C8F0BC-F10E-444C-834F-A119E64095C5}"/>
    <hyperlink ref="C55" r:id="rId262" tooltip="DOI URL" xr:uid="{59810DDF-98EF-3644-BBCF-1EF0C6B65464}"/>
    <hyperlink ref="C56" r:id="rId263" tooltip="DOI URL" xr:uid="{D67BB13B-53B0-3E45-8720-A0CC098A24D9}"/>
    <hyperlink ref="C52" r:id="rId264" tooltip="DOI URL" xr:uid="{78CE08F2-C5A7-A04A-8CF7-30D165F2F502}"/>
    <hyperlink ref="C51" r:id="rId265" tooltip="DOI URL" xr:uid="{B8EF8C5C-7CB3-AA4B-93B6-34EB945B345E}"/>
    <hyperlink ref="C54" r:id="rId266" tooltip="DOI URL" xr:uid="{481FCE5D-14D8-824C-B27F-E5475E0C80C3}"/>
    <hyperlink ref="C48" r:id="rId267" tooltip="DOI URL" xr:uid="{905CBE20-4518-A243-9A28-3A13DA14B5FF}"/>
    <hyperlink ref="C49" r:id="rId268" tooltip="DOI URL" xr:uid="{97066A61-0CB9-4D45-8509-E684F4084679}"/>
    <hyperlink ref="C50" r:id="rId269" tooltip="DOI URL" xr:uid="{9C6A6564-9453-8D42-8D46-292920EB48A7}"/>
    <hyperlink ref="C53" r:id="rId270" tooltip="DOI URL" xr:uid="{D48453D6-FE92-824C-BA66-12727FA04C79}"/>
    <hyperlink ref="C47" r:id="rId271" tooltip="DOI URL" xr:uid="{10EAD6B3-5842-E543-B667-647BE13F2676}"/>
    <hyperlink ref="C46" r:id="rId272" tooltip="DOI URL" xr:uid="{529EB50B-0155-BE4E-9F3A-21549773A589}"/>
    <hyperlink ref="C44" r:id="rId273" tooltip="DOI URL" xr:uid="{8C42B180-14E3-BC4E-9B09-701D20750BDB}"/>
    <hyperlink ref="C45" r:id="rId274" tooltip="DOI URL" xr:uid="{2A36EE0A-E3F7-474F-BF2C-B9C6BD995D28}"/>
    <hyperlink ref="C43" r:id="rId275" tooltip="DOI URL" xr:uid="{464ED4D6-9A8A-CF40-93A5-852EB5E28492}"/>
    <hyperlink ref="C42" r:id="rId276" tooltip="DOI URL" xr:uid="{FD5BD627-AA25-E64F-A518-95B9DA95BF78}"/>
    <hyperlink ref="C41" r:id="rId277" tooltip="DOI URL" xr:uid="{A27269B0-E54F-0647-B1CE-179331F0E15D}"/>
    <hyperlink ref="C39" r:id="rId278" tooltip="DOI URL" xr:uid="{24DC1A4F-D7C5-9943-B503-D6E2D844B021}"/>
    <hyperlink ref="C40" r:id="rId279" tooltip="DOI URL" xr:uid="{22C3D2B4-0236-9C4D-8CE9-9DFCD859E686}"/>
    <hyperlink ref="C72" r:id="rId280" tooltip="DOI URL" xr:uid="{7C166135-31C4-F242-AEAE-0D03EA3710F1}"/>
    <hyperlink ref="C62" r:id="rId281" tooltip="DOI URL" xr:uid="{5DDE27DB-2DF8-024F-8C2B-55B13835222D}"/>
    <hyperlink ref="C69" r:id="rId282" tooltip="DOI URL" xr:uid="{ED679222-0C49-3F42-89C3-68FA0D43199C}"/>
    <hyperlink ref="C70" r:id="rId283" tooltip="DOI URL" xr:uid="{4868A46F-7F0F-3042-A5D2-81B738D05870}"/>
    <hyperlink ref="C71" r:id="rId284" tooltip="DOI URL" xr:uid="{97B64132-8E40-8C46-AA83-97B98D865D45}"/>
    <hyperlink ref="C67" r:id="rId285" tooltip="DOI URL" xr:uid="{8FD7334A-324F-0640-B944-FBDE26581968}"/>
    <hyperlink ref="C59" r:id="rId286" tooltip="DOI URL" xr:uid="{277D3631-0930-D94A-AD7F-E7F4BA4DB2FF}"/>
    <hyperlink ref="C60" r:id="rId287" tooltip="DOI URL" xr:uid="{7B200CAA-E3EF-934B-89D3-48F09E2C0017}"/>
    <hyperlink ref="C66" r:id="rId288" tooltip="DOI URL" xr:uid="{694CC760-D9E1-9F4B-A70F-F2BF48C52FBE}"/>
    <hyperlink ref="C63" r:id="rId289" tooltip="DOI URL" xr:uid="{766DC627-3223-8947-98CC-F60571C5F92C}"/>
    <hyperlink ref="C64" r:id="rId290" tooltip="DOI URL" xr:uid="{BD174B12-775F-D94D-8527-2727584E3353}"/>
    <hyperlink ref="C65" r:id="rId291" tooltip="DOI URL" xr:uid="{13036582-67D8-0545-B80D-D115C71DB422}"/>
    <hyperlink ref="C57" r:id="rId292" tooltip="DOI URL" xr:uid="{49912A89-8F74-DE42-926C-B8860C6E375E}"/>
    <hyperlink ref="C61" r:id="rId293" tooltip="DOI URL" xr:uid="{DFE59D84-C8FA-7442-BF37-8C0240EA04D8}"/>
    <hyperlink ref="C58" r:id="rId294" tooltip="DOI URL" xr:uid="{9E21406D-586B-9644-AEF6-69CBC476C8DE}"/>
    <hyperlink ref="C79" r:id="rId295" tooltip="DOI URL" xr:uid="{A14E1AB5-CEDC-5844-B1C1-F87B6874F39D}"/>
    <hyperlink ref="C76" r:id="rId296" tooltip="DOI URL" xr:uid="{E9DE2561-206B-704C-82FB-993FC00923B5}"/>
    <hyperlink ref="C77" r:id="rId297" tooltip="DOI URL" xr:uid="{6D6131F0-7179-2541-90DE-C80C31F260B2}"/>
    <hyperlink ref="C78" r:id="rId298" tooltip="DOI URL" xr:uid="{1C4A66E2-CFB2-6F4C-BF37-C95211A3F2FB}"/>
    <hyperlink ref="C75" r:id="rId299" tooltip="DOI URL" xr:uid="{4710C5FD-A0C0-A24D-959A-F46BD496E262}"/>
    <hyperlink ref="C68" r:id="rId300" tooltip="DOI URL" xr:uid="{C7C914BF-A17B-BB48-8BE5-566103B750AB}"/>
    <hyperlink ref="C73" r:id="rId301" tooltip="DOI URL" xr:uid="{94BDB6A9-8231-7546-9735-98C7EAC2179A}"/>
    <hyperlink ref="C74" r:id="rId302" tooltip="DOI URL" xr:uid="{014C1E32-8343-5F40-A06F-E5B31E23C28A}"/>
    <hyperlink ref="C90" r:id="rId303" tooltip="DOI URL" xr:uid="{94140CFC-8E0C-0640-AC5F-0EE9C75CE8F9}"/>
    <hyperlink ref="C88" r:id="rId304" tooltip="DOI URL" xr:uid="{08E63FBA-C670-DA44-8622-6C12C16C0B86}"/>
    <hyperlink ref="C85" r:id="rId305" tooltip="DOI URL" xr:uid="{8AC8F588-55D7-ED40-835B-20069B3E713F}"/>
    <hyperlink ref="C86" r:id="rId306" tooltip="DOI URL" xr:uid="{03664C83-F040-B748-92C9-6122C275086F}"/>
    <hyperlink ref="C87" r:id="rId307" tooltip="DOI URL" xr:uid="{9FD4B837-EBBE-6C44-88A5-201907ACE4F8}"/>
    <hyperlink ref="C84" r:id="rId308" tooltip="DOI URL" xr:uid="{E73E4E37-4684-D54C-922B-63E06FC55C09}"/>
    <hyperlink ref="C80" r:id="rId309" tooltip="DOI URL" xr:uid="{D66C91F4-0F1E-7542-918A-381F9FB18F66}"/>
    <hyperlink ref="C81" r:id="rId310" tooltip="DOI URL" xr:uid="{6C8922D7-43D4-8E44-AF4B-32052A6305D6}"/>
    <hyperlink ref="C82" r:id="rId311" tooltip="DOI URL" xr:uid="{069B0BDC-08DD-F04F-B86B-420BF920E2E3}"/>
    <hyperlink ref="C83" r:id="rId312" tooltip="DOI URL" xr:uid="{DF778F8A-C4B3-E447-B20A-EDCC470C0BA0}"/>
    <hyperlink ref="C107" r:id="rId313" tooltip="DOI URL" xr:uid="{4BAE3039-9DF0-174C-8EA6-AAD7F568345C}"/>
    <hyperlink ref="C103" r:id="rId314" tooltip="DOI URL" xr:uid="{758CC5FC-2EC2-5142-B80F-BA7C806B50DC}"/>
    <hyperlink ref="C102" r:id="rId315" tooltip="DOI URL" xr:uid="{6C609AE7-2E35-0F4C-9BC9-CF97F4B5B9FE}"/>
    <hyperlink ref="C101" r:id="rId316" tooltip="DOI URL" xr:uid="{5B5158CE-FB79-2142-B0F0-CCE92A7A6038}"/>
    <hyperlink ref="C104" r:id="rId317" tooltip="DOI URL" xr:uid="{A2E70FE1-17B3-E34F-AF9B-570BA72FE6E5}"/>
    <hyperlink ref="C105" r:id="rId318" tooltip="DOI URL" xr:uid="{542C7B91-0B9F-D346-951D-401C3895DDBD}"/>
    <hyperlink ref="C106" r:id="rId319" tooltip="DOI URL" xr:uid="{1132CCC4-933F-964B-8D49-6033BEC440D7}"/>
    <hyperlink ref="C98" r:id="rId320" tooltip="DOI URL" xr:uid="{52876B6C-84DA-3D43-B421-BC9060FB6658}"/>
    <hyperlink ref="C99" r:id="rId321" tooltip="DOI URL" xr:uid="{77D69FB2-F6D7-B446-BA72-D16475F80F1A}"/>
    <hyperlink ref="C100" r:id="rId322" tooltip="DOI URL" xr:uid="{6F6B2251-3CDC-6D46-B1C1-34560C18A5C2}"/>
    <hyperlink ref="C96" r:id="rId323" tooltip="DOI URL" xr:uid="{1F15D267-C85B-6B46-B1A7-661335280A51}"/>
    <hyperlink ref="C97" r:id="rId324" tooltip="DOI URL" xr:uid="{E45DA1E8-A842-864F-B949-5BEEAC987CA7}"/>
    <hyperlink ref="C92" r:id="rId325" tooltip="DOI URL" xr:uid="{E7B337FA-4D14-1541-9D35-19E1A3AC90D8}"/>
    <hyperlink ref="C89" r:id="rId326" tooltip="DOI URL" xr:uid="{5E031FC6-0AF0-674F-94EE-A0B32F1E7C4B}"/>
    <hyperlink ref="C93" r:id="rId327" tooltip="DOI URL" xr:uid="{796FE4D8-ABD0-A84B-AD69-3472B94958EF}"/>
    <hyperlink ref="C94" r:id="rId328" tooltip="DOI URL" xr:uid="{3C2C8EF2-3D5C-4447-97C8-45D413E63160}"/>
    <hyperlink ref="C95" r:id="rId329" tooltip="DOI URL" xr:uid="{FEE79449-B3BF-8948-9446-2E38F0D213D8}"/>
    <hyperlink ref="C91" r:id="rId330" tooltip="DOI URL" xr:uid="{2DDC07A0-AE81-BE48-9876-08021640F043}"/>
    <hyperlink ref="C119" r:id="rId331" tooltip="DOI URL" xr:uid="{761C058E-BE57-934C-99C3-D05D6E4D741F}"/>
    <hyperlink ref="C120" r:id="rId332" tooltip="DOI URL" xr:uid="{76C8250B-7F3E-3D41-BB6C-265E28E41A73}"/>
    <hyperlink ref="C117" r:id="rId333" tooltip="DOI URL" xr:uid="{16900D86-64F5-E646-96B7-12CB55F42948}"/>
    <hyperlink ref="C113" r:id="rId334" tooltip="DOI URL" xr:uid="{943FBBF7-65BC-AD41-8F02-EEEA6E10939C}"/>
    <hyperlink ref="C118" r:id="rId335" tooltip="DOI URL" xr:uid="{A06883D8-DC2B-EA41-870B-D4F6AEB5AC9D}"/>
    <hyperlink ref="C115" r:id="rId336" tooltip="DOI URL" xr:uid="{F2EFD650-DC0D-6846-B7D0-AB697B540BE1}"/>
    <hyperlink ref="C116" r:id="rId337" tooltip="DOI URL" xr:uid="{C6F96305-E09F-AD45-8B47-08AB4C0A9433}"/>
    <hyperlink ref="C114" r:id="rId338" tooltip="DOI URL" xr:uid="{381BBFAF-8B4C-9044-84AC-BFAEA38B55EF}"/>
    <hyperlink ref="C108" r:id="rId339" tooltip="DOI URL" xr:uid="{A37EE6B2-7E50-D64A-A763-6AC1302D1090}"/>
    <hyperlink ref="C112" r:id="rId340" tooltip="DOI URL" xr:uid="{0787E75E-E9D9-AA48-A6D3-D7035DA03D50}"/>
    <hyperlink ref="C109" r:id="rId341" tooltip="DOI URL" xr:uid="{1C524687-6FA7-724E-929C-66C0807CB13E}"/>
    <hyperlink ref="C110" r:id="rId342" tooltip="DOI URL" xr:uid="{81D34604-2269-CE4B-AA41-35AD509C02C6}"/>
    <hyperlink ref="C111" r:id="rId343" tooltip="DOI URL" xr:uid="{53176535-7F11-7F4C-A27D-44F899080E1F}"/>
    <hyperlink ref="C350" r:id="rId344" tooltip="DOI URL" xr:uid="{7D0ECF80-659C-1E4F-92E9-E6164EA4E128}"/>
    <hyperlink ref="C351" r:id="rId345" tooltip="DOI URL" xr:uid="{780B85D9-C18A-D04E-B87B-7D4E364EEB28}"/>
    <hyperlink ref="C352" r:id="rId346" tooltip="DOI URL" xr:uid="{61E14EBD-958A-D748-8041-3BA206A0A736}"/>
    <hyperlink ref="C353" r:id="rId347" tooltip="DOI URL" xr:uid="{66C41674-726B-A447-B412-AD590A5A077A}"/>
    <hyperlink ref="C354" r:id="rId348" tooltip="DOI URL" xr:uid="{43FCA438-F8F8-1546-88FF-922A189CAE40}"/>
    <hyperlink ref="C355" r:id="rId349" tooltip="DOI URL" xr:uid="{685FCDE4-126D-844E-91CC-1468CBCC0A98}"/>
    <hyperlink ref="C356" r:id="rId350" tooltip="DOI URL" xr:uid="{13C42954-4172-BF46-A04E-9059A67B318B}"/>
    <hyperlink ref="C357" r:id="rId351" tooltip="DOI URL" xr:uid="{59DB4BC6-7B12-1545-9444-3471BFBB185C}"/>
    <hyperlink ref="C358" r:id="rId352" tooltip="DOI URL" xr:uid="{E1F5B952-144E-A248-B091-FA36D520F42E}"/>
    <hyperlink ref="C359" r:id="rId353" tooltip="DOI URL" xr:uid="{9FA56443-C071-2642-801F-F28DE5071826}"/>
    <hyperlink ref="C360" r:id="rId354" tooltip="DOI URL" xr:uid="{09D527EF-92A2-8E43-8256-0BF841E9E7BF}"/>
    <hyperlink ref="C361" r:id="rId355" tooltip="DOI URL" xr:uid="{2261F33D-AEDC-5945-8B05-80798355D39A}"/>
    <hyperlink ref="C362" r:id="rId356" tooltip="DOI URL" xr:uid="{926A35AB-15C1-3440-A200-60AF651275EC}"/>
    <hyperlink ref="C363" r:id="rId357" tooltip="DOI URL" xr:uid="{C59B2840-CC4E-EF4F-A125-DA9624F0CB02}"/>
    <hyperlink ref="C364" r:id="rId358" tooltip="DOI URL" xr:uid="{61D937B0-4BAB-C847-B041-DAB290E44E62}"/>
    <hyperlink ref="C365" r:id="rId359" tooltip="DOI URL" xr:uid="{B42ABC0D-2B0C-6A45-B191-F50E6BE2545F}"/>
    <hyperlink ref="C367" r:id="rId360" tooltip="DOI URL" xr:uid="{C2D03D18-F778-C240-B662-6A7C1DD4F4D4}"/>
    <hyperlink ref="C370" r:id="rId361" tooltip="DOI URL" xr:uid="{A420541E-B684-414C-A308-CA6A9EBDA618}"/>
    <hyperlink ref="C368" r:id="rId362" tooltip="DOI URL" xr:uid="{4A03DF81-262F-7749-A31C-0B4250434024}"/>
    <hyperlink ref="C373" r:id="rId363" tooltip="DOI URL" xr:uid="{9C875532-DAE4-8842-97A6-05850F52223F}"/>
    <hyperlink ref="C374" r:id="rId364" tooltip="DOI URL" xr:uid="{0A39EB8C-FC4F-5440-A4C5-02D5C6B754B1}"/>
    <hyperlink ref="C369" r:id="rId365" tooltip="DOI URL" xr:uid="{4B845E41-814E-1943-A44E-4633195AD234}"/>
    <hyperlink ref="C366" r:id="rId366" tooltip="DOI URL" xr:uid="{4371DF40-47C7-3443-89D3-C2C18987B86C}"/>
    <hyperlink ref="C371" r:id="rId367" tooltip="DOI URL" xr:uid="{BE5D44B3-4902-D642-A750-6F57F28DD0A1}"/>
    <hyperlink ref="C372" r:id="rId368" tooltip="DOI URL" xr:uid="{777D9DD2-1F21-D147-9A9E-10BA3E1557E1}"/>
    <hyperlink ref="C375" r:id="rId369" tooltip="DOI URL" xr:uid="{C998BFFE-E902-FD49-B945-8CF1AD44BD71}"/>
    <hyperlink ref="C378" r:id="rId370" tooltip="DOI URL" xr:uid="{6BE1983E-8B3E-5F4C-BF5F-4D23937AAE50}"/>
    <hyperlink ref="C377" r:id="rId371" tooltip="DOI URL" xr:uid="{3D7BC013-3208-DC40-861B-C7469E0574FC}"/>
    <hyperlink ref="C380" r:id="rId372" tooltip="DOI URL" xr:uid="{68E8F7F5-11F1-2A46-8974-211A05929C81}"/>
    <hyperlink ref="C379" r:id="rId373" tooltip="DOI URL" xr:uid="{D5AC3E50-5A05-D34B-A502-F819C6C6BA7E}"/>
    <hyperlink ref="C381" r:id="rId374" tooltip="DOI URL" xr:uid="{DEA6B2BA-843E-8941-87D3-D0D1BD606ECC}"/>
    <hyperlink ref="C376" r:id="rId375" tooltip="DOI URL" xr:uid="{D284106C-5708-944D-976E-7801995511EC}"/>
    <hyperlink ref="C382" r:id="rId376" tooltip="DOI URL" xr:uid="{3ED6A62A-34B3-9140-AF97-B6BE5CF798FA}"/>
    <hyperlink ref="C383" r:id="rId377" tooltip="DOI URL" xr:uid="{EC64CA04-4BFF-9D43-B091-5B19463227E4}"/>
    <hyperlink ref="C384" r:id="rId378" tooltip="DOI URL" xr:uid="{FDC9693E-176D-1B45-9710-B88D34C45863}"/>
    <hyperlink ref="C386" r:id="rId379" tooltip="DOI URL" xr:uid="{C6AE2040-22F3-A94A-AC3B-6FCB307191FD}"/>
    <hyperlink ref="C385" r:id="rId380" tooltip="DOI URL" xr:uid="{FCD0CBC9-35E2-3B44-BA91-FF8F15C926E6}"/>
    <hyperlink ref="C387" r:id="rId381" tooltip="DOI URL" xr:uid="{7826D306-446A-7142-920C-80658FFEAD41}"/>
    <hyperlink ref="C388" r:id="rId382" tooltip="DOI URL" xr:uid="{8C98713A-E5C5-404E-983C-97CA6E2B98E1}"/>
    <hyperlink ref="C389" r:id="rId383" tooltip="DOI URL" xr:uid="{F90477DC-A47D-E248-B95E-D07892995B86}"/>
    <hyperlink ref="C390" r:id="rId384" tooltip="DOI URL" xr:uid="{8D2CBF02-5286-F44C-86A6-59B3D9A80725}"/>
    <hyperlink ref="C391" r:id="rId385" tooltip="DOI URL" xr:uid="{578876EE-B3C5-A844-8499-5EEB719A63B0}"/>
    <hyperlink ref="C394" r:id="rId386" tooltip="DOI URL" xr:uid="{90ADD1CC-BFFD-8647-8C9A-F931EC0A9C1E}"/>
    <hyperlink ref="C395" r:id="rId387" tooltip="DOI URL" xr:uid="{085CC459-2229-C346-B371-CFAB1572F538}"/>
    <hyperlink ref="C392" r:id="rId388" tooltip="DOI URL" xr:uid="{F31A5BBA-4D30-8F41-9988-F4DC58917364}"/>
    <hyperlink ref="C393" r:id="rId389" tooltip="DOI URL" xr:uid="{0B2D2EF4-3AF6-CC41-86FD-7E4B549BCD4C}"/>
    <hyperlink ref="C396" r:id="rId390" tooltip="DOI URL" xr:uid="{AF9E5011-C633-D546-AC96-A404A0A86490}"/>
    <hyperlink ref="C397" r:id="rId391" tooltip="DOI URL" xr:uid="{49555D26-0B64-FF4F-A0A4-94A2D8389F4B}"/>
    <hyperlink ref="C398" r:id="rId392" tooltip="DOI URL" xr:uid="{C8603F8D-CEFC-5341-AC2E-9BB06A995712}"/>
    <hyperlink ref="C399" r:id="rId393" tooltip="DOI URL" xr:uid="{D1177CB4-45A6-EC4C-A37C-03C3926CAFC2}"/>
    <hyperlink ref="C401" r:id="rId394" tooltip="DOI URL" xr:uid="{DD4177ED-940A-C048-AD50-33A5E2FF3724}"/>
    <hyperlink ref="C400" r:id="rId395" tooltip="DOI URL" xr:uid="{20F605FA-08EC-8B42-8E1D-3631DECCA477}"/>
    <hyperlink ref="C405" r:id="rId396" tooltip="DOI URL" xr:uid="{DFABE2B4-CD7B-564A-8BCE-753CE0BDF611}"/>
    <hyperlink ref="C404" r:id="rId397" tooltip="DOI URL" xr:uid="{89290050-0217-7F4E-88BB-8149BEE171F7}"/>
    <hyperlink ref="C402" r:id="rId398" tooltip="DOI URL" xr:uid="{42C9F89A-0980-704E-BA73-C4B7907B7A36}"/>
    <hyperlink ref="C403" r:id="rId399" tooltip="DOI URL" xr:uid="{ADA940B7-6E8D-014F-B12B-7FDFDB826A4E}"/>
    <hyperlink ref="C407" r:id="rId400" tooltip="DOI URL" xr:uid="{0A81D056-15B6-0B41-95B6-BCEFD687CCB6}"/>
    <hyperlink ref="C406" r:id="rId401" tooltip="DOI URL" xr:uid="{3168BBBE-5D89-8745-BD27-153BCCAAD2BE}"/>
    <hyperlink ref="C408" r:id="rId402" tooltip="DOI URL" xr:uid="{B3594BC4-C1A8-A34F-A611-1458CC40736E}"/>
    <hyperlink ref="C410" r:id="rId403" tooltip="DOI URL" xr:uid="{553A560C-43DF-B84C-B711-2D500A082E5C}"/>
    <hyperlink ref="C412" r:id="rId404" tooltip="DOI URL" xr:uid="{4B67533E-E455-8846-8103-9D5A77F289DA}"/>
    <hyperlink ref="C411" r:id="rId405" tooltip="DOI URL" xr:uid="{1A89B22D-B720-B04F-9E21-B69D3431107C}"/>
    <hyperlink ref="C413" r:id="rId406" tooltip="DOI URL" xr:uid="{D045F41E-92DF-5044-9B3F-D8E90E6CBE76}"/>
    <hyperlink ref="C414" r:id="rId407" tooltip="DOI URL" xr:uid="{B10F3981-A6E2-3040-920D-F58E69EC645B}"/>
    <hyperlink ref="C409" r:id="rId408" tooltip="DOI URL" xr:uid="{F720E051-F427-564F-8138-85F8C203E0F5}"/>
    <hyperlink ref="C419" r:id="rId409" tooltip="DOI URL" xr:uid="{1E8826D6-193A-0444-B1F4-219AE4162CBF}"/>
    <hyperlink ref="C418" r:id="rId410" tooltip="DOI URL" xr:uid="{56C887A3-C396-5C4B-AF83-332DA4BDD73A}"/>
    <hyperlink ref="C415" r:id="rId411" tooltip="DOI URL" xr:uid="{D77A12B7-89FE-4B47-9F84-ABF91433F536}"/>
    <hyperlink ref="C416" r:id="rId412" tooltip="DOI URL" xr:uid="{66F0C3F2-F4DE-9747-9161-503D47EDB31A}"/>
    <hyperlink ref="C420" r:id="rId413" tooltip="DOI URL" xr:uid="{028E57DF-A335-4C47-9D82-C61EFEFCD8AE}"/>
    <hyperlink ref="C421" r:id="rId414" tooltip="DOI URL" xr:uid="{D6A1711B-78F5-6C4C-829B-AE1C4A141F6D}"/>
    <hyperlink ref="C417" r:id="rId415" tooltip="DOI URL" xr:uid="{99117EA4-C144-6E45-A2E9-20CBDEE4BE99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F5AC5-E1B3-C242-BA9D-C23A6C466ED8}">
  <dimension ref="A1:I212"/>
  <sheetViews>
    <sheetView workbookViewId="0">
      <selection activeCell="D39" sqref="D39"/>
    </sheetView>
  </sheetViews>
  <sheetFormatPr baseColWidth="10" defaultRowHeight="16" x14ac:dyDescent="0.2"/>
  <cols>
    <col min="1" max="1" width="32" bestFit="1" customWidth="1"/>
    <col min="2" max="2" width="27.33203125" customWidth="1"/>
    <col min="3" max="3" width="41" bestFit="1" customWidth="1"/>
    <col min="4" max="4" width="11.83203125" bestFit="1" customWidth="1"/>
    <col min="5" max="5" width="11.83203125" customWidth="1"/>
    <col min="6" max="6" width="16.33203125" bestFit="1" customWidth="1"/>
    <col min="8" max="8" width="17" customWidth="1"/>
    <col min="15" max="15" width="11.83203125" bestFit="1" customWidth="1"/>
  </cols>
  <sheetData>
    <row r="1" spans="1:9" x14ac:dyDescent="0.2">
      <c r="A1" t="s">
        <v>1</v>
      </c>
      <c r="B1" t="s">
        <v>0</v>
      </c>
      <c r="C1" t="s">
        <v>26</v>
      </c>
      <c r="D1" t="s">
        <v>130</v>
      </c>
      <c r="E1" t="s">
        <v>131</v>
      </c>
      <c r="F1" t="s">
        <v>80</v>
      </c>
      <c r="G1" t="s">
        <v>83</v>
      </c>
      <c r="H1" t="s">
        <v>200</v>
      </c>
      <c r="I1" t="s">
        <v>129</v>
      </c>
    </row>
    <row r="2" spans="1:9" x14ac:dyDescent="0.2">
      <c r="A2" t="str">
        <f>_xlfn.CONCAT(H2, "/",RIGHT(C2,7),"_",IF(D2="SI","si_",""), I2)</f>
        <v>acsmacrolett/2c00568_f1</v>
      </c>
      <c r="B2" t="s">
        <v>21</v>
      </c>
      <c r="C2" s="1" t="s">
        <v>235</v>
      </c>
      <c r="D2" t="s">
        <v>132</v>
      </c>
      <c r="E2" t="s">
        <v>36</v>
      </c>
      <c r="F2" t="s">
        <v>82</v>
      </c>
      <c r="G2">
        <v>1</v>
      </c>
      <c r="H2" t="str" cm="1">
        <f t="array" ref="H2">INDEX(_xlfn.TEXTSPLIT(INDEX(_xlfn.TEXTSPLIT(C2, "/"), 5), "."), 1)</f>
        <v>acsmacrolett</v>
      </c>
      <c r="I2" t="str" cm="1">
        <f t="array" ref="I2">IF(E2="Abstract","a",LOWER(_xlfn.CONCAT(LEFT(INDEX(_xlfn.TEXTSPLIT(E2," "),1),1),INDEX(_xlfn.TEXTSPLIT(E2," "),2))))</f>
        <v>f1</v>
      </c>
    </row>
    <row r="3" spans="1:9" x14ac:dyDescent="0.2">
      <c r="A3" t="str">
        <f>_xlfn.CONCAT(H3, "/",RIGHT(C3,9),"_",IF(D3="SI","si_",""), I3)</f>
        <v>angewchemie/202211946_s2</v>
      </c>
      <c r="B3" t="s">
        <v>343</v>
      </c>
      <c r="C3" s="1" t="s">
        <v>345</v>
      </c>
      <c r="D3" t="s">
        <v>132</v>
      </c>
      <c r="E3" t="s">
        <v>41</v>
      </c>
      <c r="F3" t="s">
        <v>85</v>
      </c>
      <c r="G3">
        <v>1</v>
      </c>
      <c r="H3" t="s">
        <v>344</v>
      </c>
      <c r="I3" t="str" cm="1">
        <f t="array" ref="I3">IF(E3="Abstract","a",LOWER(_xlfn.CONCAT(LEFT(INDEX(_xlfn.TEXTSPLIT(E3," "),1),1),INDEX(_xlfn.TEXTSPLIT(E3," "),2))))</f>
        <v>s2</v>
      </c>
    </row>
    <row r="4" spans="1:9" x14ac:dyDescent="0.2">
      <c r="A4" t="str">
        <f>_xlfn.CONCAT(H4, "/",RIGHT(C4,11),"_",IF(D4="SI","si_",""), I4)</f>
        <v>chemengjournal/2024.149698_s1</v>
      </c>
      <c r="B4" t="s">
        <v>341</v>
      </c>
      <c r="C4" s="1" t="s">
        <v>342</v>
      </c>
      <c r="D4" t="s">
        <v>132</v>
      </c>
      <c r="E4" t="s">
        <v>40</v>
      </c>
      <c r="F4" t="s">
        <v>85</v>
      </c>
      <c r="G4">
        <v>2</v>
      </c>
      <c r="H4" t="s">
        <v>340</v>
      </c>
      <c r="I4" t="str" cm="1">
        <f t="array" ref="I4">IF(E4="Abstract","a",LOWER(_xlfn.CONCAT(LEFT(INDEX(_xlfn.TEXTSPLIT(E4," "),1),1),INDEX(_xlfn.TEXTSPLIT(E4," "),2))))</f>
        <v>s1</v>
      </c>
    </row>
    <row r="5" spans="1:9" x14ac:dyDescent="0.2">
      <c r="A5" t="str">
        <f t="shared" ref="A5:A22" si="0">_xlfn.CONCAT(H5, "/",RIGHT(C5,10),"_",IF(D5="SI","si_",""), I5)</f>
        <v>chemicalscience/C5SC02385H_f3</v>
      </c>
      <c r="B5" t="s">
        <v>28</v>
      </c>
      <c r="C5" s="1" t="s">
        <v>319</v>
      </c>
      <c r="D5" t="s">
        <v>132</v>
      </c>
      <c r="E5" t="s">
        <v>69</v>
      </c>
      <c r="F5" t="s">
        <v>322</v>
      </c>
      <c r="G5">
        <v>2</v>
      </c>
      <c r="H5" t="s">
        <v>320</v>
      </c>
      <c r="I5" t="str" cm="1">
        <f t="array" ref="I5">IF(E5="Abstract","a",LOWER(_xlfn.CONCAT(LEFT(INDEX(_xlfn.TEXTSPLIT(E5," "),1),1),INDEX(_xlfn.TEXTSPLIT(E5," "),2))))</f>
        <v>f3</v>
      </c>
    </row>
    <row r="6" spans="1:9" x14ac:dyDescent="0.2">
      <c r="A6" t="str">
        <f t="shared" si="0"/>
        <v>chemicalscience/C5SC02385H_s1</v>
      </c>
      <c r="B6" t="s">
        <v>28</v>
      </c>
      <c r="C6" s="1" t="s">
        <v>319</v>
      </c>
      <c r="D6" t="s">
        <v>132</v>
      </c>
      <c r="E6" t="s">
        <v>40</v>
      </c>
      <c r="F6" t="s">
        <v>322</v>
      </c>
      <c r="G6">
        <v>1</v>
      </c>
      <c r="H6" t="s">
        <v>320</v>
      </c>
      <c r="I6" t="str" cm="1">
        <f t="array" ref="I6">IF(E6="Abstract","a",LOWER(_xlfn.CONCAT(LEFT(INDEX(_xlfn.TEXTSPLIT(E6," "),1),1),INDEX(_xlfn.TEXTSPLIT(E6," "),2))))</f>
        <v>s1</v>
      </c>
    </row>
    <row r="7" spans="1:9" x14ac:dyDescent="0.2">
      <c r="A7" t="str">
        <f t="shared" si="0"/>
        <v>chemicalscience/C7SC00154A_f3</v>
      </c>
      <c r="B7" t="s">
        <v>28</v>
      </c>
      <c r="C7" s="1" t="s">
        <v>27</v>
      </c>
      <c r="D7" t="s">
        <v>132</v>
      </c>
      <c r="E7" t="s">
        <v>69</v>
      </c>
      <c r="F7" t="s">
        <v>321</v>
      </c>
      <c r="G7">
        <v>3</v>
      </c>
      <c r="H7" t="s">
        <v>320</v>
      </c>
      <c r="I7" t="str" cm="1">
        <f t="array" ref="I7">IF(E7="Abstract","a",LOWER(_xlfn.CONCAT(LEFT(INDEX(_xlfn.TEXTSPLIT(E7," "),1),1),INDEX(_xlfn.TEXTSPLIT(E7," "),2))))</f>
        <v>f3</v>
      </c>
    </row>
    <row r="8" spans="1:9" x14ac:dyDescent="0.2">
      <c r="A8" t="str">
        <f t="shared" si="0"/>
        <v>chemicalscience/C7SC00154A_s1</v>
      </c>
      <c r="B8" t="s">
        <v>28</v>
      </c>
      <c r="C8" s="1" t="s">
        <v>27</v>
      </c>
      <c r="D8" t="s">
        <v>132</v>
      </c>
      <c r="E8" t="s">
        <v>40</v>
      </c>
      <c r="F8" t="s">
        <v>321</v>
      </c>
      <c r="G8">
        <v>2</v>
      </c>
      <c r="H8" t="s">
        <v>320</v>
      </c>
      <c r="I8" t="str" cm="1">
        <f t="array" ref="I8">IF(E8="Abstract","a",LOWER(_xlfn.CONCAT(LEFT(INDEX(_xlfn.TEXTSPLIT(E8," "),1),1),INDEX(_xlfn.TEXTSPLIT(E8," "),2))))</f>
        <v>s1</v>
      </c>
    </row>
    <row r="9" spans="1:9" x14ac:dyDescent="0.2">
      <c r="A9" t="str">
        <f t="shared" si="0"/>
        <v>chemicalscience/C7SC00154A_s10</v>
      </c>
      <c r="B9" t="s">
        <v>28</v>
      </c>
      <c r="C9" s="1" t="s">
        <v>27</v>
      </c>
      <c r="D9" t="s">
        <v>132</v>
      </c>
      <c r="E9" t="s">
        <v>327</v>
      </c>
      <c r="F9" t="s">
        <v>321</v>
      </c>
      <c r="G9">
        <v>2</v>
      </c>
      <c r="H9" t="s">
        <v>320</v>
      </c>
      <c r="I9" t="str" cm="1">
        <f t="array" ref="I9">IF(E9="Abstract","a",LOWER(_xlfn.CONCAT(LEFT(INDEX(_xlfn.TEXTSPLIT(E9," "),1),1),INDEX(_xlfn.TEXTSPLIT(E9," "),2))))</f>
        <v>s10</v>
      </c>
    </row>
    <row r="10" spans="1:9" x14ac:dyDescent="0.2">
      <c r="A10" t="str">
        <f t="shared" si="0"/>
        <v>chemicalscience/C7SC00154A_s3</v>
      </c>
      <c r="B10" t="s">
        <v>28</v>
      </c>
      <c r="C10" s="1" t="s">
        <v>27</v>
      </c>
      <c r="D10" t="s">
        <v>132</v>
      </c>
      <c r="E10" t="s">
        <v>43</v>
      </c>
      <c r="F10" t="s">
        <v>321</v>
      </c>
      <c r="G10">
        <v>1</v>
      </c>
      <c r="H10" t="s">
        <v>320</v>
      </c>
      <c r="I10" t="str" cm="1">
        <f t="array" ref="I10">IF(E10="Abstract","a",LOWER(_xlfn.CONCAT(LEFT(INDEX(_xlfn.TEXTSPLIT(E10," "),1),1),INDEX(_xlfn.TEXTSPLIT(E10," "),2))))</f>
        <v>s3</v>
      </c>
    </row>
    <row r="11" spans="1:9" x14ac:dyDescent="0.2">
      <c r="A11" t="str">
        <f t="shared" si="0"/>
        <v>chemicalscience/C7SC00154A_s4</v>
      </c>
      <c r="B11" t="s">
        <v>28</v>
      </c>
      <c r="C11" s="1" t="s">
        <v>27</v>
      </c>
      <c r="D11" t="s">
        <v>132</v>
      </c>
      <c r="E11" t="s">
        <v>44</v>
      </c>
      <c r="F11" t="s">
        <v>321</v>
      </c>
      <c r="G11">
        <v>1</v>
      </c>
      <c r="H11" t="s">
        <v>320</v>
      </c>
      <c r="I11" t="str" cm="1">
        <f t="array" ref="I11">IF(E11="Abstract","a",LOWER(_xlfn.CONCAT(LEFT(INDEX(_xlfn.TEXTSPLIT(E11," "),1),1),INDEX(_xlfn.TEXTSPLIT(E11," "),2))))</f>
        <v>s4</v>
      </c>
    </row>
    <row r="12" spans="1:9" x14ac:dyDescent="0.2">
      <c r="A12" t="str">
        <f t="shared" si="0"/>
        <v>chemicalscience/C7SC00154A_s5</v>
      </c>
      <c r="B12" t="s">
        <v>28</v>
      </c>
      <c r="C12" s="1" t="s">
        <v>27</v>
      </c>
      <c r="D12" t="s">
        <v>132</v>
      </c>
      <c r="E12" t="s">
        <v>45</v>
      </c>
      <c r="F12" t="s">
        <v>321</v>
      </c>
      <c r="G12">
        <v>1</v>
      </c>
      <c r="H12" t="s">
        <v>320</v>
      </c>
      <c r="I12" t="str" cm="1">
        <f t="array" ref="I12">IF(E12="Abstract","a",LOWER(_xlfn.CONCAT(LEFT(INDEX(_xlfn.TEXTSPLIT(E12," "),1),1),INDEX(_xlfn.TEXTSPLIT(E12," "),2))))</f>
        <v>s5</v>
      </c>
    </row>
    <row r="13" spans="1:9" x14ac:dyDescent="0.2">
      <c r="A13" t="str">
        <f t="shared" si="0"/>
        <v>chemicalscience/C7SC00154A_s6</v>
      </c>
      <c r="B13" t="s">
        <v>28</v>
      </c>
      <c r="C13" s="1" t="s">
        <v>27</v>
      </c>
      <c r="D13" t="s">
        <v>132</v>
      </c>
      <c r="E13" t="s">
        <v>323</v>
      </c>
      <c r="F13" t="s">
        <v>321</v>
      </c>
      <c r="G13">
        <v>1</v>
      </c>
      <c r="H13" t="s">
        <v>320</v>
      </c>
      <c r="I13" t="str" cm="1">
        <f t="array" ref="I13">IF(E13="Abstract","a",LOWER(_xlfn.CONCAT(LEFT(INDEX(_xlfn.TEXTSPLIT(E13," "),1),1),INDEX(_xlfn.TEXTSPLIT(E13," "),2))))</f>
        <v>s6</v>
      </c>
    </row>
    <row r="14" spans="1:9" x14ac:dyDescent="0.2">
      <c r="A14" t="str">
        <f t="shared" si="0"/>
        <v>chemicalscience/C7SC00154A_s7</v>
      </c>
      <c r="B14" t="s">
        <v>28</v>
      </c>
      <c r="C14" s="1" t="s">
        <v>27</v>
      </c>
      <c r="D14" t="s">
        <v>132</v>
      </c>
      <c r="E14" t="s">
        <v>324</v>
      </c>
      <c r="F14" t="s">
        <v>321</v>
      </c>
      <c r="G14">
        <v>2</v>
      </c>
      <c r="H14" t="s">
        <v>320</v>
      </c>
      <c r="I14" t="str" cm="1">
        <f t="array" ref="I14">IF(E14="Abstract","a",LOWER(_xlfn.CONCAT(LEFT(INDEX(_xlfn.TEXTSPLIT(E14," "),1),1),INDEX(_xlfn.TEXTSPLIT(E14," "),2))))</f>
        <v>s7</v>
      </c>
    </row>
    <row r="15" spans="1:9" x14ac:dyDescent="0.2">
      <c r="A15" t="str">
        <f t="shared" si="0"/>
        <v>chemicalscience/C7SC00154A_s8</v>
      </c>
      <c r="B15" t="s">
        <v>28</v>
      </c>
      <c r="C15" s="1" t="s">
        <v>27</v>
      </c>
      <c r="D15" t="s">
        <v>132</v>
      </c>
      <c r="E15" t="s">
        <v>325</v>
      </c>
      <c r="F15" t="s">
        <v>321</v>
      </c>
      <c r="G15">
        <v>2</v>
      </c>
      <c r="H15" t="s">
        <v>320</v>
      </c>
      <c r="I15" t="str" cm="1">
        <f t="array" ref="I15">IF(E15="Abstract","a",LOWER(_xlfn.CONCAT(LEFT(INDEX(_xlfn.TEXTSPLIT(E15," "),1),1),INDEX(_xlfn.TEXTSPLIT(E15," "),2))))</f>
        <v>s8</v>
      </c>
    </row>
    <row r="16" spans="1:9" x14ac:dyDescent="0.2">
      <c r="A16" t="str">
        <f t="shared" si="0"/>
        <v>chemicalscience/C7SC00154A_s9</v>
      </c>
      <c r="B16" t="s">
        <v>28</v>
      </c>
      <c r="C16" s="1" t="s">
        <v>27</v>
      </c>
      <c r="D16" t="s">
        <v>132</v>
      </c>
      <c r="E16" t="s">
        <v>326</v>
      </c>
      <c r="F16" t="s">
        <v>321</v>
      </c>
      <c r="G16">
        <v>2</v>
      </c>
      <c r="H16" t="s">
        <v>320</v>
      </c>
      <c r="I16" t="str" cm="1">
        <f t="array" ref="I16">IF(E16="Abstract","a",LOWER(_xlfn.CONCAT(LEFT(INDEX(_xlfn.TEXTSPLIT(E16," "),1),1),INDEX(_xlfn.TEXTSPLIT(E16," "),2))))</f>
        <v>s9</v>
      </c>
    </row>
    <row r="17" spans="1:9" x14ac:dyDescent="0.2">
      <c r="A17" t="str">
        <f t="shared" si="0"/>
        <v>chemicalscience/D4SC03222E_f1</v>
      </c>
      <c r="B17" t="s">
        <v>28</v>
      </c>
      <c r="C17" s="1" t="s">
        <v>334</v>
      </c>
      <c r="D17" t="s">
        <v>132</v>
      </c>
      <c r="E17" t="s">
        <v>36</v>
      </c>
      <c r="F17" t="s">
        <v>321</v>
      </c>
      <c r="G17">
        <v>3</v>
      </c>
      <c r="H17" t="s">
        <v>320</v>
      </c>
      <c r="I17" t="str" cm="1">
        <f t="array" ref="I17">IF(E17="Abstract","a",LOWER(_xlfn.CONCAT(LEFT(INDEX(_xlfn.TEXTSPLIT(E17," "),1),1),INDEX(_xlfn.TEXTSPLIT(E17," "),2))))</f>
        <v>f1</v>
      </c>
    </row>
    <row r="18" spans="1:9" x14ac:dyDescent="0.2">
      <c r="A18" t="str">
        <f t="shared" si="0"/>
        <v>chemicalscience/D4SC06902A_f1</v>
      </c>
      <c r="B18" t="s">
        <v>28</v>
      </c>
      <c r="C18" s="1" t="s">
        <v>335</v>
      </c>
      <c r="D18" t="s">
        <v>132</v>
      </c>
      <c r="E18" t="s">
        <v>36</v>
      </c>
      <c r="F18" t="s">
        <v>321</v>
      </c>
      <c r="G18">
        <v>4</v>
      </c>
      <c r="H18" t="s">
        <v>320</v>
      </c>
      <c r="I18" t="str" cm="1">
        <f t="array" ref="I18">IF(E18="Abstract","a",LOWER(_xlfn.CONCAT(LEFT(INDEX(_xlfn.TEXTSPLIT(E18," "),1),1),INDEX(_xlfn.TEXTSPLIT(E18," "),2))))</f>
        <v>f1</v>
      </c>
    </row>
    <row r="19" spans="1:9" x14ac:dyDescent="0.2">
      <c r="A19" t="str">
        <f t="shared" si="0"/>
        <v>chemicalscience/D4SC06902A_s1</v>
      </c>
      <c r="B19" t="s">
        <v>28</v>
      </c>
      <c r="C19" s="1" t="s">
        <v>335</v>
      </c>
      <c r="D19" t="s">
        <v>132</v>
      </c>
      <c r="E19" t="s">
        <v>40</v>
      </c>
      <c r="F19" t="s">
        <v>321</v>
      </c>
      <c r="G19">
        <v>2</v>
      </c>
      <c r="H19" t="s">
        <v>320</v>
      </c>
      <c r="I19" t="str" cm="1">
        <f t="array" ref="I19">IF(E19="Abstract","a",LOWER(_xlfn.CONCAT(LEFT(INDEX(_xlfn.TEXTSPLIT(E19," "),1),1),INDEX(_xlfn.TEXTSPLIT(E19," "),2))))</f>
        <v>s1</v>
      </c>
    </row>
    <row r="20" spans="1:9" x14ac:dyDescent="0.2">
      <c r="A20" t="str">
        <f t="shared" si="0"/>
        <v>digitaldiscovery/D5DD00051C_f8</v>
      </c>
      <c r="B20" t="s">
        <v>329</v>
      </c>
      <c r="C20" s="1" t="s">
        <v>328</v>
      </c>
      <c r="D20" t="s">
        <v>132</v>
      </c>
      <c r="E20" t="s">
        <v>72</v>
      </c>
      <c r="F20" t="s">
        <v>322</v>
      </c>
      <c r="G20">
        <v>1</v>
      </c>
      <c r="H20" t="s">
        <v>330</v>
      </c>
      <c r="I20" t="str" cm="1">
        <f t="array" ref="I20">IF(E20="Abstract","a",LOWER(_xlfn.CONCAT(LEFT(INDEX(_xlfn.TEXTSPLIT(E20," "),1),1),INDEX(_xlfn.TEXTSPLIT(E20," "),2))))</f>
        <v>f8</v>
      </c>
    </row>
    <row r="21" spans="1:9" x14ac:dyDescent="0.2">
      <c r="A21" t="str">
        <f t="shared" si="0"/>
        <v>faradaydiscussions/C8FD00197A_f2</v>
      </c>
      <c r="B21" t="s">
        <v>331</v>
      </c>
      <c r="C21" s="1" t="s">
        <v>332</v>
      </c>
      <c r="D21" t="s">
        <v>132</v>
      </c>
      <c r="E21" t="s">
        <v>37</v>
      </c>
      <c r="F21" t="s">
        <v>321</v>
      </c>
      <c r="G21">
        <v>4</v>
      </c>
      <c r="H21" t="s">
        <v>333</v>
      </c>
      <c r="I21" t="str" cm="1">
        <f t="array" ref="I21">IF(E21="Abstract","a",LOWER(_xlfn.CONCAT(LEFT(INDEX(_xlfn.TEXTSPLIT(E21," "),1),1),INDEX(_xlfn.TEXTSPLIT(E21," "),2))))</f>
        <v>f2</v>
      </c>
    </row>
    <row r="22" spans="1:9" x14ac:dyDescent="0.2">
      <c r="A22" t="str">
        <f t="shared" si="0"/>
        <v>faradaydiscussions/C8FD00197A_s1</v>
      </c>
      <c r="B22" t="s">
        <v>331</v>
      </c>
      <c r="C22" s="1" t="s">
        <v>332</v>
      </c>
      <c r="D22" t="s">
        <v>132</v>
      </c>
      <c r="E22" t="s">
        <v>40</v>
      </c>
      <c r="F22" t="s">
        <v>321</v>
      </c>
      <c r="G22">
        <v>1</v>
      </c>
      <c r="H22" t="s">
        <v>333</v>
      </c>
      <c r="I22" t="str" cm="1">
        <f t="array" ref="I22">IF(E22="Abstract","a",LOWER(_xlfn.CONCAT(LEFT(INDEX(_xlfn.TEXTSPLIT(E22," "),1),1),INDEX(_xlfn.TEXTSPLIT(E22," "),2))))</f>
        <v>s1</v>
      </c>
    </row>
    <row r="23" spans="1:9" x14ac:dyDescent="0.2">
      <c r="A23" t="str">
        <f t="shared" ref="A23:A28" si="1">_xlfn.CONCAT(H23, "/",RIGHT(C23,7),"_",IF(D23="SI","si_",""), I23)</f>
        <v>macromolecules/401869p_s1</v>
      </c>
      <c r="B23" t="s">
        <v>20</v>
      </c>
      <c r="C23" s="1" t="s">
        <v>282</v>
      </c>
      <c r="D23" t="s">
        <v>132</v>
      </c>
      <c r="E23" t="s">
        <v>40</v>
      </c>
      <c r="F23" t="s">
        <v>190</v>
      </c>
      <c r="G23">
        <v>2</v>
      </c>
      <c r="H23" t="s">
        <v>280</v>
      </c>
      <c r="I23" t="str" cm="1">
        <f t="array" ref="I23">IF(E23="Abstract","a",LOWER(_xlfn.CONCAT(LEFT(INDEX(_xlfn.TEXTSPLIT(E23," "),1),1),INDEX(_xlfn.TEXTSPLIT(E23," "),2))))</f>
        <v>s1</v>
      </c>
    </row>
    <row r="24" spans="1:9" x14ac:dyDescent="0.2">
      <c r="A24" t="str">
        <f t="shared" si="1"/>
        <v>macromolecules/4c00728_s1</v>
      </c>
      <c r="B24" t="s">
        <v>20</v>
      </c>
      <c r="C24" s="1" t="s">
        <v>29</v>
      </c>
      <c r="D24" t="s">
        <v>132</v>
      </c>
      <c r="E24" t="s">
        <v>40</v>
      </c>
      <c r="F24" t="s">
        <v>82</v>
      </c>
      <c r="G24">
        <v>1</v>
      </c>
      <c r="H24" t="s">
        <v>280</v>
      </c>
      <c r="I24" t="str" cm="1">
        <f t="array" ref="I24">IF(E24="Abstract","a",LOWER(_xlfn.CONCAT(LEFT(INDEX(_xlfn.TEXTSPLIT(E24," "),1),1),INDEX(_xlfn.TEXTSPLIT(E24," "),2))))</f>
        <v>s1</v>
      </c>
    </row>
    <row r="25" spans="1:9" x14ac:dyDescent="0.2">
      <c r="A25" t="str">
        <f t="shared" si="1"/>
        <v>macromolecules/4c00728_s2</v>
      </c>
      <c r="B25" t="s">
        <v>20</v>
      </c>
      <c r="C25" s="1" t="s">
        <v>29</v>
      </c>
      <c r="D25" t="s">
        <v>132</v>
      </c>
      <c r="E25" t="s">
        <v>41</v>
      </c>
      <c r="F25" t="s">
        <v>82</v>
      </c>
      <c r="G25">
        <v>1</v>
      </c>
      <c r="H25" t="s">
        <v>280</v>
      </c>
      <c r="I25" t="str" cm="1">
        <f t="array" ref="I25">IF(E25="Abstract","a",LOWER(_xlfn.CONCAT(LEFT(INDEX(_xlfn.TEXTSPLIT(E25," "),1),1),INDEX(_xlfn.TEXTSPLIT(E25," "),2))))</f>
        <v>s2</v>
      </c>
    </row>
    <row r="26" spans="1:9" x14ac:dyDescent="0.2">
      <c r="A26" t="str">
        <f t="shared" si="1"/>
        <v>macromolecules/5011183_f1</v>
      </c>
      <c r="B26" t="s">
        <v>20</v>
      </c>
      <c r="C26" s="1" t="s">
        <v>284</v>
      </c>
      <c r="D26" t="s">
        <v>132</v>
      </c>
      <c r="E26" t="s">
        <v>36</v>
      </c>
      <c r="F26" t="s">
        <v>190</v>
      </c>
      <c r="G26">
        <v>1</v>
      </c>
      <c r="H26" t="s">
        <v>280</v>
      </c>
      <c r="I26" t="str" cm="1">
        <f t="array" ref="I26">IF(E26="Abstract","a",LOWER(_xlfn.CONCAT(LEFT(INDEX(_xlfn.TEXTSPLIT(E26," "),1),1),INDEX(_xlfn.TEXTSPLIT(E26," "),2))))</f>
        <v>f1</v>
      </c>
    </row>
    <row r="27" spans="1:9" x14ac:dyDescent="0.2">
      <c r="A27" t="str">
        <f t="shared" si="1"/>
        <v>macromolecules/9b02185_s1</v>
      </c>
      <c r="B27" t="s">
        <v>20</v>
      </c>
      <c r="C27" s="1" t="s">
        <v>339</v>
      </c>
      <c r="D27" t="s">
        <v>132</v>
      </c>
      <c r="E27" t="s">
        <v>40</v>
      </c>
      <c r="F27" t="s">
        <v>190</v>
      </c>
      <c r="G27">
        <v>1</v>
      </c>
      <c r="H27" t="s">
        <v>280</v>
      </c>
      <c r="I27" t="str" cm="1">
        <f t="array" ref="I27">IF(E27="Abstract","a",LOWER(_xlfn.CONCAT(LEFT(INDEX(_xlfn.TEXTSPLIT(E27," "),1),1),INDEX(_xlfn.TEXTSPLIT(E27," "),2))))</f>
        <v>s1</v>
      </c>
    </row>
    <row r="28" spans="1:9" x14ac:dyDescent="0.2">
      <c r="A28" t="str">
        <f t="shared" si="1"/>
        <v>macromolecules/9b02185_s2</v>
      </c>
      <c r="B28" t="s">
        <v>20</v>
      </c>
      <c r="C28" s="1" t="s">
        <v>339</v>
      </c>
      <c r="D28" t="s">
        <v>132</v>
      </c>
      <c r="E28" t="s">
        <v>41</v>
      </c>
      <c r="F28" t="s">
        <v>190</v>
      </c>
      <c r="G28">
        <v>3</v>
      </c>
      <c r="H28" t="s">
        <v>280</v>
      </c>
      <c r="I28" t="str" cm="1">
        <f t="array" ref="I28">IF(E28="Abstract","a",LOWER(_xlfn.CONCAT(LEFT(INDEX(_xlfn.TEXTSPLIT(E28," "),1),1),INDEX(_xlfn.TEXTSPLIT(E28," "),2))))</f>
        <v>s2</v>
      </c>
    </row>
    <row r="29" spans="1:9" x14ac:dyDescent="0.2">
      <c r="A29" t="str">
        <f>_xlfn.CONCAT(H29, "/",RIGHT(C29,11),"_",IF(D29="SI","si_",""), I29)</f>
        <v>polymer/2025.128830_s1</v>
      </c>
      <c r="B29" t="s">
        <v>338</v>
      </c>
      <c r="C29" s="1" t="s">
        <v>336</v>
      </c>
      <c r="D29" t="s">
        <v>132</v>
      </c>
      <c r="E29" t="s">
        <v>40</v>
      </c>
      <c r="F29" t="s">
        <v>188</v>
      </c>
      <c r="G29">
        <v>2</v>
      </c>
      <c r="H29" t="s">
        <v>337</v>
      </c>
      <c r="I29" t="str" cm="1">
        <f t="array" ref="I29">IF(E29="Abstract","a",LOWER(_xlfn.CONCAT(LEFT(INDEX(_xlfn.TEXTSPLIT(E29," "),1),1),INDEX(_xlfn.TEXTSPLIT(E29," "),2))))</f>
        <v>s1</v>
      </c>
    </row>
    <row r="30" spans="1:9" x14ac:dyDescent="0.2">
      <c r="C30" s="1"/>
    </row>
    <row r="31" spans="1:9" x14ac:dyDescent="0.2">
      <c r="C31" s="1"/>
    </row>
    <row r="32" spans="1:9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  <row r="109" spans="3:3" x14ac:dyDescent="0.2">
      <c r="C109" s="1"/>
    </row>
    <row r="110" spans="3:3" x14ac:dyDescent="0.2">
      <c r="C110" s="1"/>
    </row>
    <row r="111" spans="3:3" x14ac:dyDescent="0.2">
      <c r="C111" s="1"/>
    </row>
    <row r="112" spans="3:3" x14ac:dyDescent="0.2">
      <c r="C112" s="1"/>
    </row>
    <row r="113" spans="3:3" x14ac:dyDescent="0.2">
      <c r="C113" s="1"/>
    </row>
    <row r="114" spans="3:3" x14ac:dyDescent="0.2">
      <c r="C114" s="1"/>
    </row>
    <row r="115" spans="3:3" x14ac:dyDescent="0.2">
      <c r="C115" s="1"/>
    </row>
    <row r="116" spans="3:3" x14ac:dyDescent="0.2">
      <c r="C116" s="1"/>
    </row>
    <row r="117" spans="3:3" x14ac:dyDescent="0.2">
      <c r="C117" s="1"/>
    </row>
    <row r="118" spans="3:3" x14ac:dyDescent="0.2">
      <c r="C118" s="1"/>
    </row>
    <row r="119" spans="3:3" x14ac:dyDescent="0.2">
      <c r="C119" s="1"/>
    </row>
    <row r="120" spans="3:3" x14ac:dyDescent="0.2">
      <c r="C120" s="1"/>
    </row>
    <row r="121" spans="3:3" x14ac:dyDescent="0.2">
      <c r="C121" s="1"/>
    </row>
    <row r="122" spans="3:3" x14ac:dyDescent="0.2">
      <c r="C122" s="1"/>
    </row>
    <row r="123" spans="3:3" x14ac:dyDescent="0.2">
      <c r="C123" s="1"/>
    </row>
    <row r="124" spans="3:3" x14ac:dyDescent="0.2">
      <c r="C124" s="1"/>
    </row>
    <row r="125" spans="3:3" x14ac:dyDescent="0.2">
      <c r="C125" s="1"/>
    </row>
    <row r="126" spans="3:3" x14ac:dyDescent="0.2">
      <c r="C126" s="1"/>
    </row>
    <row r="127" spans="3:3" x14ac:dyDescent="0.2">
      <c r="C127" s="1"/>
    </row>
    <row r="128" spans="3:3" x14ac:dyDescent="0.2">
      <c r="C128" s="1"/>
    </row>
    <row r="129" spans="3:3" x14ac:dyDescent="0.2">
      <c r="C129" s="1"/>
    </row>
    <row r="130" spans="3:3" x14ac:dyDescent="0.2">
      <c r="C130" s="1"/>
    </row>
    <row r="131" spans="3:3" x14ac:dyDescent="0.2">
      <c r="C131" s="1"/>
    </row>
    <row r="132" spans="3:3" x14ac:dyDescent="0.2">
      <c r="C132" s="1"/>
    </row>
    <row r="133" spans="3:3" x14ac:dyDescent="0.2">
      <c r="C133" s="1"/>
    </row>
    <row r="134" spans="3:3" x14ac:dyDescent="0.2">
      <c r="C134" s="1"/>
    </row>
    <row r="135" spans="3:3" x14ac:dyDescent="0.2">
      <c r="C135" s="1"/>
    </row>
    <row r="136" spans="3:3" x14ac:dyDescent="0.2">
      <c r="C136" s="1"/>
    </row>
    <row r="137" spans="3:3" x14ac:dyDescent="0.2">
      <c r="C137" s="1"/>
    </row>
    <row r="138" spans="3:3" x14ac:dyDescent="0.2">
      <c r="C138" s="1"/>
    </row>
    <row r="139" spans="3:3" x14ac:dyDescent="0.2">
      <c r="C139" s="1"/>
    </row>
    <row r="140" spans="3:3" x14ac:dyDescent="0.2">
      <c r="C140" s="1"/>
    </row>
    <row r="141" spans="3:3" x14ac:dyDescent="0.2">
      <c r="C141" s="1"/>
    </row>
    <row r="142" spans="3:3" x14ac:dyDescent="0.2">
      <c r="C142" s="1"/>
    </row>
    <row r="143" spans="3:3" x14ac:dyDescent="0.2">
      <c r="C143" s="1"/>
    </row>
    <row r="144" spans="3:3" x14ac:dyDescent="0.2">
      <c r="C144" s="1"/>
    </row>
    <row r="145" spans="3:3" x14ac:dyDescent="0.2">
      <c r="C145" s="1"/>
    </row>
    <row r="146" spans="3:3" x14ac:dyDescent="0.2">
      <c r="C146" s="1"/>
    </row>
    <row r="147" spans="3:3" x14ac:dyDescent="0.2">
      <c r="C147" s="1"/>
    </row>
    <row r="148" spans="3:3" x14ac:dyDescent="0.2">
      <c r="C148" s="1"/>
    </row>
    <row r="149" spans="3:3" x14ac:dyDescent="0.2">
      <c r="C149" s="1"/>
    </row>
    <row r="150" spans="3:3" x14ac:dyDescent="0.2">
      <c r="C150" s="1"/>
    </row>
    <row r="151" spans="3:3" x14ac:dyDescent="0.2">
      <c r="C151" s="1"/>
    </row>
    <row r="152" spans="3:3" x14ac:dyDescent="0.2">
      <c r="C152" s="1"/>
    </row>
    <row r="153" spans="3:3" x14ac:dyDescent="0.2">
      <c r="C153" s="1"/>
    </row>
    <row r="154" spans="3:3" x14ac:dyDescent="0.2">
      <c r="C154" s="1"/>
    </row>
    <row r="155" spans="3:3" x14ac:dyDescent="0.2">
      <c r="C155" s="1"/>
    </row>
    <row r="156" spans="3:3" x14ac:dyDescent="0.2">
      <c r="C156" s="1"/>
    </row>
    <row r="157" spans="3:3" x14ac:dyDescent="0.2">
      <c r="C157" s="1"/>
    </row>
    <row r="158" spans="3:3" x14ac:dyDescent="0.2">
      <c r="C158" s="1"/>
    </row>
    <row r="159" spans="3:3" x14ac:dyDescent="0.2">
      <c r="C159" s="1"/>
    </row>
    <row r="160" spans="3:3" x14ac:dyDescent="0.2">
      <c r="C160" s="1"/>
    </row>
    <row r="161" spans="3:3" x14ac:dyDescent="0.2">
      <c r="C161" s="1"/>
    </row>
    <row r="162" spans="3:3" x14ac:dyDescent="0.2">
      <c r="C162" s="1"/>
    </row>
    <row r="163" spans="3:3" x14ac:dyDescent="0.2">
      <c r="C163" s="1"/>
    </row>
    <row r="164" spans="3:3" x14ac:dyDescent="0.2">
      <c r="C164" s="1"/>
    </row>
    <row r="165" spans="3:3" x14ac:dyDescent="0.2">
      <c r="C165" s="1"/>
    </row>
    <row r="166" spans="3:3" x14ac:dyDescent="0.2">
      <c r="C166" s="1"/>
    </row>
    <row r="167" spans="3:3" x14ac:dyDescent="0.2">
      <c r="C167" s="1"/>
    </row>
    <row r="168" spans="3:3" x14ac:dyDescent="0.2">
      <c r="C168" s="1"/>
    </row>
    <row r="169" spans="3:3" x14ac:dyDescent="0.2">
      <c r="C169" s="1"/>
    </row>
    <row r="170" spans="3:3" x14ac:dyDescent="0.2">
      <c r="C170" s="1"/>
    </row>
    <row r="171" spans="3:3" x14ac:dyDescent="0.2">
      <c r="C171" s="1"/>
    </row>
    <row r="172" spans="3:3" x14ac:dyDescent="0.2">
      <c r="C172" s="1"/>
    </row>
    <row r="173" spans="3:3" x14ac:dyDescent="0.2">
      <c r="C173" s="1"/>
    </row>
    <row r="174" spans="3:3" x14ac:dyDescent="0.2">
      <c r="C174" s="1"/>
    </row>
    <row r="175" spans="3:3" x14ac:dyDescent="0.2">
      <c r="C175" s="1"/>
    </row>
    <row r="176" spans="3:3" x14ac:dyDescent="0.2">
      <c r="C176" s="1"/>
    </row>
    <row r="177" spans="3:3" x14ac:dyDescent="0.2">
      <c r="C177" s="1"/>
    </row>
    <row r="178" spans="3:3" x14ac:dyDescent="0.2">
      <c r="C178" s="1"/>
    </row>
    <row r="179" spans="3:3" x14ac:dyDescent="0.2">
      <c r="C179" s="1"/>
    </row>
    <row r="180" spans="3:3" x14ac:dyDescent="0.2">
      <c r="C180" s="1"/>
    </row>
    <row r="181" spans="3:3" x14ac:dyDescent="0.2">
      <c r="C181" s="1"/>
    </row>
    <row r="182" spans="3:3" x14ac:dyDescent="0.2">
      <c r="C182" s="1"/>
    </row>
    <row r="183" spans="3:3" x14ac:dyDescent="0.2">
      <c r="C183" s="1"/>
    </row>
    <row r="184" spans="3:3" x14ac:dyDescent="0.2">
      <c r="C184" s="1"/>
    </row>
    <row r="185" spans="3:3" x14ac:dyDescent="0.2">
      <c r="C185" s="1"/>
    </row>
    <row r="186" spans="3:3" x14ac:dyDescent="0.2">
      <c r="C186" s="1"/>
    </row>
    <row r="187" spans="3:3" x14ac:dyDescent="0.2">
      <c r="C187" s="1"/>
    </row>
    <row r="188" spans="3:3" x14ac:dyDescent="0.2">
      <c r="C188" s="1"/>
    </row>
    <row r="189" spans="3:3" x14ac:dyDescent="0.2">
      <c r="C189" s="1"/>
    </row>
    <row r="190" spans="3:3" x14ac:dyDescent="0.2">
      <c r="C190" s="1"/>
    </row>
    <row r="191" spans="3:3" x14ac:dyDescent="0.2">
      <c r="C191" s="1"/>
    </row>
    <row r="192" spans="3:3" x14ac:dyDescent="0.2">
      <c r="C192" s="1"/>
    </row>
    <row r="193" spans="3:3" x14ac:dyDescent="0.2">
      <c r="C193" s="1"/>
    </row>
    <row r="194" spans="3:3" x14ac:dyDescent="0.2">
      <c r="C194" s="1"/>
    </row>
    <row r="195" spans="3:3" x14ac:dyDescent="0.2">
      <c r="C195" s="1"/>
    </row>
    <row r="196" spans="3:3" x14ac:dyDescent="0.2">
      <c r="C196" s="1"/>
    </row>
    <row r="197" spans="3:3" x14ac:dyDescent="0.2">
      <c r="C197" s="1"/>
    </row>
    <row r="198" spans="3:3" x14ac:dyDescent="0.2">
      <c r="C198" s="1"/>
    </row>
    <row r="199" spans="3:3" x14ac:dyDescent="0.2">
      <c r="C199" s="1"/>
    </row>
    <row r="200" spans="3:3" x14ac:dyDescent="0.2">
      <c r="C200" s="1"/>
    </row>
    <row r="201" spans="3:3" x14ac:dyDescent="0.2">
      <c r="C201" s="1"/>
    </row>
    <row r="202" spans="3:3" x14ac:dyDescent="0.2">
      <c r="C202" s="1"/>
    </row>
    <row r="203" spans="3:3" x14ac:dyDescent="0.2">
      <c r="C203" s="1"/>
    </row>
    <row r="204" spans="3:3" x14ac:dyDescent="0.2">
      <c r="C204" s="1"/>
    </row>
    <row r="205" spans="3:3" x14ac:dyDescent="0.2">
      <c r="C205" s="1"/>
    </row>
    <row r="206" spans="3:3" x14ac:dyDescent="0.2">
      <c r="C206" s="1"/>
    </row>
    <row r="207" spans="3:3" x14ac:dyDescent="0.2">
      <c r="C207" s="1"/>
    </row>
    <row r="208" spans="3:3" x14ac:dyDescent="0.2">
      <c r="C208" s="1"/>
    </row>
    <row r="209" spans="3:3" x14ac:dyDescent="0.2">
      <c r="C209" s="1"/>
    </row>
    <row r="210" spans="3:3" x14ac:dyDescent="0.2">
      <c r="C210" s="1"/>
    </row>
    <row r="211" spans="3:3" x14ac:dyDescent="0.2">
      <c r="C211" s="1"/>
    </row>
    <row r="212" spans="3:3" x14ac:dyDescent="0.2">
      <c r="C212" s="1"/>
    </row>
  </sheetData>
  <autoFilter ref="A1:I1" xr:uid="{91A940FE-D55F-DB4F-96D3-BD48970A8305}">
    <sortState xmlns:xlrd2="http://schemas.microsoft.com/office/spreadsheetml/2017/richdata2" ref="A2:I29">
      <sortCondition ref="A1:A29"/>
    </sortState>
  </autoFilter>
  <phoneticPr fontId="2" type="noConversion"/>
  <hyperlinks>
    <hyperlink ref="C2" r:id="rId1" tooltip="DOI URL" xr:uid="{33D25737-9E36-7B45-B69B-A4F5053921CA}"/>
    <hyperlink ref="C23" r:id="rId2" tooltip="DOI URL" xr:uid="{C3CD499F-8AE6-704A-91F3-708762B133E7}"/>
    <hyperlink ref="C26" r:id="rId3" tooltip="DOI URL" xr:uid="{BD7E3FDD-F386-474D-8527-D5C47F267258}"/>
    <hyperlink ref="C6" r:id="rId4" xr:uid="{F3B21821-11E9-E74E-BE3F-B88206564E5E}"/>
    <hyperlink ref="C5" r:id="rId5" xr:uid="{8666125E-182A-4E4D-AC19-0975D4593E63}"/>
    <hyperlink ref="C24" r:id="rId6" tooltip="DOI URL" xr:uid="{4DD8D21F-0337-0B42-96F7-F502A0CD883E}"/>
    <hyperlink ref="C25" r:id="rId7" tooltip="DOI URL" xr:uid="{484E216E-F0C0-D642-8C7E-6E15C98E30FF}"/>
    <hyperlink ref="C7" r:id="rId8" tooltip="Link to landing page via DOI" xr:uid="{2D3C5960-3C8F-0745-AADA-8F9EF1FBF3F7}"/>
    <hyperlink ref="C8" r:id="rId9" tooltip="Link to landing page via DOI" xr:uid="{D20EF05F-28DB-F74F-9DB8-9D8EAB45B3C9}"/>
    <hyperlink ref="C10" r:id="rId10" tooltip="Link to landing page via DOI" xr:uid="{AB167A0E-2F9D-2F44-9D97-6D5B4FF1EBC9}"/>
    <hyperlink ref="C12" r:id="rId11" tooltip="Link to landing page via DOI" xr:uid="{7A591788-4DF8-604F-A4EA-6FFC84BE700A}"/>
    <hyperlink ref="C14" r:id="rId12" tooltip="Link to landing page via DOI" xr:uid="{B218AAEF-87CF-A44E-BFF3-02EAC0A48B42}"/>
    <hyperlink ref="C16" r:id="rId13" tooltip="Link to landing page via DOI" xr:uid="{1624E579-84A9-AB42-8F2C-B6A36E267E5E}"/>
    <hyperlink ref="C11" r:id="rId14" tooltip="Link to landing page via DOI" xr:uid="{B369BFF2-EA78-AC4C-AD69-6FC2C75DC5E1}"/>
    <hyperlink ref="C13" r:id="rId15" tooltip="Link to landing page via DOI" xr:uid="{E7572AEE-3107-044E-956C-90E4E37F4070}"/>
    <hyperlink ref="C15" r:id="rId16" tooltip="Link to landing page via DOI" xr:uid="{F71FDEB9-11B3-094B-A5FD-E13E9683D51D}"/>
    <hyperlink ref="C9" r:id="rId17" tooltip="Link to landing page via DOI" xr:uid="{4DCED2B4-6A4C-9444-A371-F68BFFF62ABA}"/>
    <hyperlink ref="C20" r:id="rId18" xr:uid="{77511B74-4391-D541-94BC-7A56B99990E9}"/>
    <hyperlink ref="C21" r:id="rId19" xr:uid="{8686104A-B971-5549-B384-63ABFE42035C}"/>
    <hyperlink ref="C22" r:id="rId20" xr:uid="{123E6BA3-35EA-274D-911A-8F3A19A3FA57}"/>
    <hyperlink ref="C17" r:id="rId21" xr:uid="{745E4BEB-72D2-DC4D-B792-F27E9CDF2170}"/>
    <hyperlink ref="C18" r:id="rId22" xr:uid="{69C2C5C3-2B33-BA42-A714-38B1AAEA75D2}"/>
    <hyperlink ref="C19" r:id="rId23" xr:uid="{BCDDF8E3-941C-AA45-92F8-2D0CA18949B9}"/>
    <hyperlink ref="C29" r:id="rId24" xr:uid="{3DB67398-B0D4-254E-A28F-0F26B5BC34A4}"/>
    <hyperlink ref="C27" r:id="rId25" xr:uid="{28918EC4-9455-4840-9551-80232F40854B}"/>
    <hyperlink ref="C28" r:id="rId26" xr:uid="{5FDAD2D5-DEF2-604F-8B21-DA0F3E82E14C}"/>
    <hyperlink ref="C4" r:id="rId27" xr:uid="{175D80E7-3FA3-2B48-9AA9-14FE8B3D0A4D}"/>
    <hyperlink ref="C3" r:id="rId28" xr:uid="{BD5E3DB7-E323-8042-AF80-0588C21D0B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Generic</vt:lpstr>
      <vt:lpstr>Ladder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Zhengkai Tu</dc:creator>
  <cp:lastModifiedBy>Zhengkai Tu</cp:lastModifiedBy>
  <dcterms:created xsi:type="dcterms:W3CDTF">2025-02-18T13:44:21Z</dcterms:created>
  <dcterms:modified xsi:type="dcterms:W3CDTF">2025-08-26T21:31:49Z</dcterms:modified>
</cp:coreProperties>
</file>